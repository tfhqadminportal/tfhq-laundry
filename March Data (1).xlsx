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Dhingra\Downloads\"/>
    </mc:Choice>
  </mc:AlternateContent>
  <xr:revisionPtr revIDLastSave="0" documentId="13_ncr:1_{A4FAB2E9-6049-49A0-B702-67A70440D186}" xr6:coauthVersionLast="47" xr6:coauthVersionMax="47" xr10:uidLastSave="{00000000-0000-0000-0000-000000000000}"/>
  <bookViews>
    <workbookView xWindow="57490" yWindow="10" windowWidth="29020" windowHeight="15700" activeTab="3" xr2:uid="{00000000-000D-0000-FFFF-FFFF00000000}"/>
  </bookViews>
  <sheets>
    <sheet name="March Week-1" sheetId="1" r:id="rId1"/>
    <sheet name="Week-2" sheetId="3" r:id="rId2"/>
    <sheet name="Week 3" sheetId="4" r:id="rId3"/>
    <sheet name="Week 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5" l="1"/>
  <c r="H46" i="5"/>
  <c r="G46" i="5"/>
  <c r="F46" i="5"/>
  <c r="E46" i="5"/>
  <c r="D46" i="5"/>
  <c r="C46" i="5"/>
  <c r="H37" i="5"/>
  <c r="G37" i="5"/>
  <c r="F37" i="5"/>
  <c r="E37" i="5"/>
  <c r="D37" i="5"/>
  <c r="C37" i="5"/>
  <c r="H28" i="5"/>
  <c r="G28" i="5"/>
  <c r="F28" i="5"/>
  <c r="E28" i="5"/>
  <c r="D28" i="5"/>
  <c r="C28" i="5"/>
  <c r="H19" i="5"/>
  <c r="G19" i="5"/>
  <c r="F19" i="5"/>
  <c r="E19" i="5"/>
  <c r="D19" i="5"/>
  <c r="C19" i="5"/>
  <c r="H10" i="5"/>
  <c r="G10" i="5"/>
  <c r="F10" i="5"/>
  <c r="E10" i="5"/>
  <c r="D10" i="5"/>
  <c r="C10" i="5"/>
  <c r="D47" i="1"/>
  <c r="I47" i="1"/>
  <c r="I47" i="3"/>
  <c r="B56" i="1"/>
  <c r="B56" i="3"/>
  <c r="B56" i="4"/>
  <c r="G47" i="4"/>
  <c r="F47" i="4"/>
  <c r="G47" i="3"/>
  <c r="F47" i="3"/>
  <c r="H46" i="4"/>
  <c r="G46" i="4"/>
  <c r="F46" i="4"/>
  <c r="E46" i="4"/>
  <c r="D46" i="4"/>
  <c r="C46" i="4"/>
  <c r="H37" i="4"/>
  <c r="G37" i="4"/>
  <c r="F37" i="4"/>
  <c r="E37" i="4"/>
  <c r="D37" i="4"/>
  <c r="C37" i="4"/>
  <c r="H28" i="4"/>
  <c r="G28" i="4"/>
  <c r="F28" i="4"/>
  <c r="E28" i="4"/>
  <c r="D28" i="4"/>
  <c r="C28" i="4"/>
  <c r="H19" i="4"/>
  <c r="G19" i="4"/>
  <c r="F19" i="4"/>
  <c r="E19" i="4"/>
  <c r="D19" i="4"/>
  <c r="C19" i="4"/>
  <c r="H10" i="4"/>
  <c r="G10" i="4"/>
  <c r="F10" i="4"/>
  <c r="E10" i="4"/>
  <c r="D10" i="4"/>
  <c r="C10" i="4"/>
  <c r="G47" i="1"/>
  <c r="F47" i="1"/>
  <c r="C47" i="3"/>
  <c r="H46" i="3"/>
  <c r="G46" i="3"/>
  <c r="F46" i="3"/>
  <c r="E46" i="3"/>
  <c r="D46" i="3"/>
  <c r="C46" i="3"/>
  <c r="H37" i="3"/>
  <c r="G37" i="3"/>
  <c r="F37" i="3"/>
  <c r="E37" i="3"/>
  <c r="D37" i="3"/>
  <c r="C37" i="3"/>
  <c r="H28" i="3"/>
  <c r="G28" i="3"/>
  <c r="F28" i="3"/>
  <c r="E28" i="3"/>
  <c r="D28" i="3"/>
  <c r="C28" i="3"/>
  <c r="H19" i="3"/>
  <c r="G19" i="3"/>
  <c r="F19" i="3"/>
  <c r="E19" i="3"/>
  <c r="D19" i="3"/>
  <c r="C19" i="3"/>
  <c r="H10" i="3"/>
  <c r="G10" i="3"/>
  <c r="F10" i="3"/>
  <c r="E10" i="3"/>
  <c r="D10" i="3"/>
  <c r="C10" i="3"/>
  <c r="C47" i="1"/>
  <c r="C46" i="1"/>
  <c r="H46" i="1"/>
  <c r="H47" i="1" s="1"/>
  <c r="G46" i="1"/>
  <c r="G37" i="1"/>
  <c r="G28" i="1"/>
  <c r="G19" i="1"/>
  <c r="G10" i="1"/>
  <c r="C10" i="1"/>
  <c r="F46" i="1"/>
  <c r="E46" i="1"/>
  <c r="D46" i="1"/>
  <c r="H37" i="1"/>
  <c r="F37" i="1"/>
  <c r="E37" i="1"/>
  <c r="D37" i="1"/>
  <c r="C37" i="1"/>
  <c r="H28" i="1"/>
  <c r="F28" i="1"/>
  <c r="E28" i="1"/>
  <c r="D28" i="1"/>
  <c r="C28" i="1"/>
  <c r="H19" i="1"/>
  <c r="F19" i="1"/>
  <c r="E19" i="1"/>
  <c r="D19" i="1"/>
  <c r="C19" i="1"/>
  <c r="H10" i="1"/>
  <c r="F10" i="1"/>
  <c r="E10" i="1"/>
  <c r="D10" i="1"/>
  <c r="C47" i="5" l="1"/>
  <c r="H47" i="5"/>
  <c r="G47" i="5"/>
  <c r="F47" i="5"/>
  <c r="E47" i="5"/>
  <c r="D47" i="5"/>
  <c r="H47" i="4"/>
  <c r="C47" i="4"/>
  <c r="I47" i="4" s="1"/>
  <c r="D47" i="4"/>
  <c r="E47" i="4"/>
  <c r="H47" i="3"/>
  <c r="E47" i="3"/>
  <c r="D47" i="3"/>
  <c r="E47" i="1"/>
  <c r="I47" i="5" l="1"/>
</calcChain>
</file>

<file path=xl/sharedStrings.xml><?xml version="1.0" encoding="utf-8"?>
<sst xmlns="http://schemas.openxmlformats.org/spreadsheetml/2006/main" count="348" uniqueCount="28">
  <si>
    <t>Size</t>
  </si>
  <si>
    <t>XS</t>
  </si>
  <si>
    <t>M</t>
  </si>
  <si>
    <t>XL</t>
  </si>
  <si>
    <t>3XL</t>
  </si>
  <si>
    <t>5XL</t>
  </si>
  <si>
    <t>7XL</t>
  </si>
  <si>
    <t>Totals</t>
  </si>
  <si>
    <t>To Repair</t>
  </si>
  <si>
    <t>Ink Stain</t>
  </si>
  <si>
    <t>Large Holes</t>
  </si>
  <si>
    <t>Paykel</t>
  </si>
  <si>
    <t>Daniel</t>
  </si>
  <si>
    <t>Stewart</t>
  </si>
  <si>
    <t>9XL</t>
  </si>
  <si>
    <t xml:space="preserve">Total Packed </t>
  </si>
  <si>
    <t xml:space="preserve">Bags </t>
  </si>
  <si>
    <t xml:space="preserve">Weekly Total </t>
  </si>
  <si>
    <t>Daniel-Red</t>
  </si>
  <si>
    <t>Paykel- Black</t>
  </si>
  <si>
    <t>Stewart- Blue</t>
  </si>
  <si>
    <t xml:space="preserve">Labelling </t>
  </si>
  <si>
    <t>Sleeve repair</t>
  </si>
  <si>
    <t>Quantities</t>
  </si>
  <si>
    <t xml:space="preserve">General Repair </t>
  </si>
  <si>
    <t>Fisher and Paykel to Inject</t>
  </si>
  <si>
    <t>Large/Burnt Holes</t>
  </si>
  <si>
    <t>TFHQ-LAUNDRY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</si>
</sst>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3" xfId="0" applyFont="1" applyBorder="1"/>
    <xf numFmtId="0" fontId="0" fillId="0" borderId="4" xfId="0" applyBorder="1"/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0" borderId="10" xfId="0" applyBorder="1"/>
    <xf numFmtId="0" fontId="0" fillId="0" borderId="14" xfId="0" applyBorder="1"/>
    <xf numFmtId="0" fontId="0" fillId="0" borderId="13" xfId="0" applyBorder="1"/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center" vertical="top"/>
    </xf>
    <xf numFmtId="0" fontId="0" fillId="0" borderId="3" xfId="0" applyBorder="1"/>
    <xf numFmtId="0" fontId="0" fillId="2" borderId="5" xfId="0" applyFill="1" applyBorder="1"/>
    <xf numFmtId="0" fontId="0" fillId="2" borderId="6" xfId="0" applyFill="1" applyBorder="1"/>
    <xf numFmtId="0" fontId="0" fillId="2" borderId="1" xfId="0" applyFill="1" applyBorder="1"/>
    <xf numFmtId="0" fontId="0" fillId="0" borderId="1" xfId="0" applyBorder="1" applyAlignment="1">
      <alignment horizontal="right" vertical="top"/>
    </xf>
    <xf numFmtId="0" fontId="1" fillId="2" borderId="17" xfId="0" applyFont="1" applyFill="1" applyBorder="1"/>
    <xf numFmtId="0" fontId="1" fillId="2" borderId="5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0" fillId="0" borderId="2" xfId="0" applyBorder="1"/>
    <xf numFmtId="0" fontId="0" fillId="0" borderId="4" xfId="0" applyBorder="1" applyAlignment="1">
      <alignment horizontal="right"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3" xfId="0" applyBorder="1" applyAlignment="1">
      <alignment horizontal="right" vertical="top"/>
    </xf>
    <xf numFmtId="16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" fontId="0" fillId="0" borderId="15" xfId="0" applyNumberFormat="1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topLeftCell="A39" workbookViewId="0">
      <selection activeCell="A55" sqref="A55"/>
    </sheetView>
  </sheetViews>
  <sheetFormatPr defaultColWidth="12.6328125" defaultRowHeight="14.5" x14ac:dyDescent="0.35"/>
  <cols>
    <col min="1" max="1" width="22.81640625" customWidth="1"/>
    <col min="2" max="2" width="11" customWidth="1"/>
    <col min="3" max="3" width="14.1796875" customWidth="1"/>
    <col min="4" max="4" width="16.36328125" customWidth="1"/>
    <col min="5" max="5" width="14.1796875" customWidth="1"/>
    <col min="6" max="6" width="10.54296875" customWidth="1"/>
    <col min="7" max="7" width="15.1796875" customWidth="1"/>
    <col min="8" max="8" width="8.54296875" customWidth="1"/>
  </cols>
  <sheetData>
    <row r="1" spans="1:9" ht="15" thickBot="1" x14ac:dyDescent="0.4">
      <c r="A1" s="4" t="s">
        <v>27</v>
      </c>
      <c r="B1" s="4"/>
    </row>
    <row r="2" spans="1:9" ht="15" thickBot="1" x14ac:dyDescent="0.4">
      <c r="A2" s="29" t="s">
        <v>0</v>
      </c>
      <c r="B2" s="30" t="s">
        <v>15</v>
      </c>
      <c r="C2" s="31" t="s">
        <v>11</v>
      </c>
      <c r="D2" s="31" t="s">
        <v>12</v>
      </c>
      <c r="E2" s="31" t="s">
        <v>13</v>
      </c>
      <c r="F2" s="32" t="s">
        <v>9</v>
      </c>
      <c r="G2" s="33" t="s">
        <v>26</v>
      </c>
      <c r="H2" s="34" t="s">
        <v>8</v>
      </c>
      <c r="I2" s="41">
        <v>46083</v>
      </c>
    </row>
    <row r="3" spans="1:9" x14ac:dyDescent="0.35">
      <c r="A3" s="13" t="s">
        <v>1</v>
      </c>
      <c r="B3" s="12"/>
      <c r="C3" s="21">
        <v>49</v>
      </c>
      <c r="D3" s="21">
        <v>13</v>
      </c>
      <c r="E3" s="21">
        <v>210</v>
      </c>
      <c r="F3" s="11"/>
      <c r="G3" s="22">
        <v>1</v>
      </c>
      <c r="H3" s="17"/>
      <c r="I3" s="42"/>
    </row>
    <row r="4" spans="1:9" x14ac:dyDescent="0.35">
      <c r="A4" s="2" t="s">
        <v>2</v>
      </c>
      <c r="B4" s="2"/>
      <c r="C4" s="2">
        <v>177</v>
      </c>
      <c r="D4" s="2">
        <v>57</v>
      </c>
      <c r="E4" s="2">
        <v>342</v>
      </c>
      <c r="F4" s="2"/>
      <c r="G4" s="2"/>
      <c r="H4" s="18">
        <v>7</v>
      </c>
      <c r="I4" s="42"/>
    </row>
    <row r="5" spans="1:9" x14ac:dyDescent="0.35">
      <c r="A5" s="2" t="s">
        <v>3</v>
      </c>
      <c r="B5" s="2"/>
      <c r="C5" s="2">
        <v>172</v>
      </c>
      <c r="D5" s="2">
        <v>56</v>
      </c>
      <c r="E5" s="2">
        <v>436</v>
      </c>
      <c r="F5" s="2">
        <v>3</v>
      </c>
      <c r="G5" s="2">
        <v>3</v>
      </c>
      <c r="H5" s="18">
        <v>6</v>
      </c>
      <c r="I5" s="42"/>
    </row>
    <row r="6" spans="1:9" x14ac:dyDescent="0.35">
      <c r="A6" s="2" t="s">
        <v>4</v>
      </c>
      <c r="B6" s="2"/>
      <c r="C6" s="2">
        <v>127</v>
      </c>
      <c r="D6" s="2">
        <v>32</v>
      </c>
      <c r="E6" s="2">
        <v>222</v>
      </c>
      <c r="F6" s="2">
        <v>4</v>
      </c>
      <c r="G6" s="2">
        <v>6</v>
      </c>
      <c r="H6" s="18">
        <v>5</v>
      </c>
      <c r="I6" s="42"/>
    </row>
    <row r="7" spans="1:9" x14ac:dyDescent="0.35">
      <c r="A7" s="2" t="s">
        <v>5</v>
      </c>
      <c r="B7" s="2"/>
      <c r="C7" s="2">
        <v>93</v>
      </c>
      <c r="D7" s="2">
        <v>24</v>
      </c>
      <c r="E7" s="2">
        <v>166</v>
      </c>
      <c r="F7" s="2">
        <v>2</v>
      </c>
      <c r="G7" s="2">
        <v>17</v>
      </c>
      <c r="H7" s="18">
        <v>6</v>
      </c>
      <c r="I7" s="42"/>
    </row>
    <row r="8" spans="1:9" x14ac:dyDescent="0.35">
      <c r="A8" s="2" t="s">
        <v>6</v>
      </c>
      <c r="B8" s="2"/>
      <c r="C8" s="2">
        <v>102</v>
      </c>
      <c r="D8" s="2">
        <v>36</v>
      </c>
      <c r="E8" s="2">
        <v>232</v>
      </c>
      <c r="F8" s="2">
        <v>1</v>
      </c>
      <c r="G8" s="2"/>
      <c r="H8" s="18">
        <v>9</v>
      </c>
      <c r="I8" s="42"/>
    </row>
    <row r="9" spans="1:9" x14ac:dyDescent="0.35">
      <c r="A9" s="2" t="s">
        <v>14</v>
      </c>
      <c r="B9" s="2"/>
      <c r="C9" s="2"/>
      <c r="D9" s="2"/>
      <c r="E9" s="2"/>
      <c r="F9" s="2"/>
      <c r="G9" s="2"/>
      <c r="I9" s="42"/>
    </row>
    <row r="10" spans="1:9" ht="15" thickBot="1" x14ac:dyDescent="0.4">
      <c r="A10" s="3" t="s">
        <v>7</v>
      </c>
      <c r="B10" s="5"/>
      <c r="C10" s="2">
        <f>SUM(C3:C8)</f>
        <v>720</v>
      </c>
      <c r="D10" s="2">
        <f t="shared" ref="D10:H10" si="0">SUM(D3:D8)</f>
        <v>218</v>
      </c>
      <c r="E10" s="2">
        <f t="shared" si="0"/>
        <v>1608</v>
      </c>
      <c r="F10" s="2">
        <f t="shared" si="0"/>
        <v>10</v>
      </c>
      <c r="G10" s="2">
        <f>SUM(G3:G8)</f>
        <v>27</v>
      </c>
      <c r="H10" s="2">
        <f t="shared" si="0"/>
        <v>33</v>
      </c>
      <c r="I10" s="43"/>
    </row>
    <row r="11" spans="1:9" ht="15" thickBot="1" x14ac:dyDescent="0.4">
      <c r="A11" s="10" t="s">
        <v>0</v>
      </c>
      <c r="B11" s="9"/>
      <c r="C11" s="7" t="s">
        <v>11</v>
      </c>
      <c r="D11" s="8" t="s">
        <v>12</v>
      </c>
      <c r="E11" s="7" t="s">
        <v>13</v>
      </c>
      <c r="F11" s="7" t="s">
        <v>9</v>
      </c>
      <c r="G11" s="15" t="s">
        <v>10</v>
      </c>
      <c r="H11" s="16" t="s">
        <v>8</v>
      </c>
      <c r="I11" s="19"/>
    </row>
    <row r="12" spans="1:9" x14ac:dyDescent="0.35">
      <c r="A12" s="13" t="s">
        <v>1</v>
      </c>
      <c r="B12" s="14"/>
      <c r="C12" s="11">
        <v>24</v>
      </c>
      <c r="D12" s="11">
        <v>6</v>
      </c>
      <c r="E12" s="11">
        <v>66</v>
      </c>
      <c r="F12" s="11"/>
      <c r="G12" s="1"/>
      <c r="H12" s="17">
        <v>1</v>
      </c>
      <c r="I12" s="44">
        <v>46084</v>
      </c>
    </row>
    <row r="13" spans="1:9" x14ac:dyDescent="0.35">
      <c r="A13" s="2" t="s">
        <v>2</v>
      </c>
      <c r="B13" s="6"/>
      <c r="C13" s="2">
        <v>94</v>
      </c>
      <c r="D13" s="2">
        <v>36</v>
      </c>
      <c r="E13" s="2">
        <v>97</v>
      </c>
      <c r="F13" s="2"/>
      <c r="G13" s="2"/>
      <c r="H13" s="18"/>
      <c r="I13" s="42"/>
    </row>
    <row r="14" spans="1:9" x14ac:dyDescent="0.35">
      <c r="A14" s="2" t="s">
        <v>3</v>
      </c>
      <c r="B14" s="2"/>
      <c r="C14" s="2">
        <v>86</v>
      </c>
      <c r="D14" s="2">
        <v>20</v>
      </c>
      <c r="E14" s="2">
        <v>153</v>
      </c>
      <c r="F14" s="2">
        <v>1</v>
      </c>
      <c r="G14" s="2">
        <v>1</v>
      </c>
      <c r="H14" s="18">
        <v>1</v>
      </c>
      <c r="I14" s="42"/>
    </row>
    <row r="15" spans="1:9" x14ac:dyDescent="0.35">
      <c r="A15" s="2" t="s">
        <v>4</v>
      </c>
      <c r="B15" s="2"/>
      <c r="C15" s="2">
        <v>73</v>
      </c>
      <c r="D15" s="2">
        <v>19</v>
      </c>
      <c r="E15" s="2">
        <v>71</v>
      </c>
      <c r="F15" s="2"/>
      <c r="G15" s="2"/>
      <c r="H15" s="18">
        <v>3</v>
      </c>
      <c r="I15" s="42"/>
    </row>
    <row r="16" spans="1:9" x14ac:dyDescent="0.35">
      <c r="A16" s="2" t="s">
        <v>5</v>
      </c>
      <c r="B16" s="2"/>
      <c r="C16" s="2">
        <v>62</v>
      </c>
      <c r="D16" s="2">
        <v>24</v>
      </c>
      <c r="E16" s="2">
        <v>48</v>
      </c>
      <c r="F16" s="2">
        <v>1</v>
      </c>
      <c r="G16" s="2">
        <v>4</v>
      </c>
      <c r="H16" s="18">
        <v>4</v>
      </c>
      <c r="I16" s="42"/>
    </row>
    <row r="17" spans="1:9" x14ac:dyDescent="0.35">
      <c r="A17" s="2" t="s">
        <v>6</v>
      </c>
      <c r="B17" s="2"/>
      <c r="C17" s="2">
        <v>39</v>
      </c>
      <c r="D17" s="2">
        <v>18</v>
      </c>
      <c r="E17" s="2">
        <v>70</v>
      </c>
      <c r="F17" s="2">
        <v>1</v>
      </c>
      <c r="G17" s="2">
        <v>6</v>
      </c>
      <c r="H17" s="18">
        <v>4</v>
      </c>
      <c r="I17" s="42"/>
    </row>
    <row r="18" spans="1:9" x14ac:dyDescent="0.35">
      <c r="A18" s="2" t="s">
        <v>14</v>
      </c>
      <c r="B18" s="2"/>
      <c r="C18" s="2"/>
      <c r="D18" s="2"/>
      <c r="E18" s="2"/>
      <c r="F18" s="2"/>
      <c r="G18" s="2"/>
      <c r="H18" s="2"/>
      <c r="I18" s="45"/>
    </row>
    <row r="19" spans="1:9" ht="15" thickBot="1" x14ac:dyDescent="0.4">
      <c r="A19" s="3" t="s">
        <v>7</v>
      </c>
      <c r="B19" s="5"/>
      <c r="C19" s="2">
        <f t="shared" ref="C19:H19" si="1">SUM(C12:C17)</f>
        <v>378</v>
      </c>
      <c r="D19" s="2">
        <f t="shared" si="1"/>
        <v>123</v>
      </c>
      <c r="E19" s="2">
        <f t="shared" si="1"/>
        <v>505</v>
      </c>
      <c r="F19" s="2">
        <f t="shared" si="1"/>
        <v>3</v>
      </c>
      <c r="G19" s="2">
        <f>SUM(G12:G17)</f>
        <v>11</v>
      </c>
      <c r="H19" s="2">
        <f t="shared" si="1"/>
        <v>13</v>
      </c>
      <c r="I19" s="43"/>
    </row>
    <row r="20" spans="1:9" ht="15" thickBot="1" x14ac:dyDescent="0.4">
      <c r="A20" s="10" t="s">
        <v>0</v>
      </c>
      <c r="B20" s="9"/>
      <c r="C20" s="8" t="s">
        <v>11</v>
      </c>
      <c r="D20" s="7" t="s">
        <v>12</v>
      </c>
      <c r="E20" s="7" t="s">
        <v>13</v>
      </c>
      <c r="F20" s="7" t="s">
        <v>9</v>
      </c>
      <c r="G20" s="15" t="s">
        <v>10</v>
      </c>
      <c r="H20" s="16" t="s">
        <v>8</v>
      </c>
      <c r="I20" s="41">
        <v>46085</v>
      </c>
    </row>
    <row r="21" spans="1:9" x14ac:dyDescent="0.35">
      <c r="A21" s="13" t="s">
        <v>1</v>
      </c>
      <c r="B21" s="12"/>
      <c r="C21" s="11">
        <v>31</v>
      </c>
      <c r="D21" s="11">
        <v>8</v>
      </c>
      <c r="E21" s="11">
        <v>48</v>
      </c>
      <c r="F21" s="11"/>
      <c r="G21" s="1"/>
      <c r="H21" s="17"/>
      <c r="I21" s="42"/>
    </row>
    <row r="22" spans="1:9" x14ac:dyDescent="0.35">
      <c r="A22" s="2" t="s">
        <v>2</v>
      </c>
      <c r="B22" s="2"/>
      <c r="C22" s="2">
        <v>154</v>
      </c>
      <c r="D22" s="2">
        <v>25</v>
      </c>
      <c r="E22" s="2">
        <v>174</v>
      </c>
      <c r="F22" s="2"/>
      <c r="G22" s="2"/>
      <c r="H22" s="18"/>
      <c r="I22" s="42"/>
    </row>
    <row r="23" spans="1:9" x14ac:dyDescent="0.35">
      <c r="A23" s="2" t="s">
        <v>3</v>
      </c>
      <c r="B23" s="2"/>
      <c r="C23" s="2">
        <v>121</v>
      </c>
      <c r="D23" s="2">
        <v>18</v>
      </c>
      <c r="E23" s="2">
        <v>139</v>
      </c>
      <c r="F23" s="2"/>
      <c r="G23" s="2"/>
      <c r="H23" s="18">
        <v>1</v>
      </c>
      <c r="I23" s="42"/>
    </row>
    <row r="24" spans="1:9" x14ac:dyDescent="0.35">
      <c r="A24" s="2" t="s">
        <v>4</v>
      </c>
      <c r="B24" s="2"/>
      <c r="C24" s="2">
        <v>119</v>
      </c>
      <c r="D24" s="2">
        <v>21</v>
      </c>
      <c r="E24" s="2">
        <v>101</v>
      </c>
      <c r="F24" s="2">
        <v>1</v>
      </c>
      <c r="G24" s="2">
        <v>3</v>
      </c>
      <c r="H24" s="18">
        <v>4</v>
      </c>
      <c r="I24" s="42"/>
    </row>
    <row r="25" spans="1:9" x14ac:dyDescent="0.35">
      <c r="A25" s="2" t="s">
        <v>5</v>
      </c>
      <c r="B25" s="2"/>
      <c r="C25" s="2">
        <v>95</v>
      </c>
      <c r="D25" s="2">
        <v>19</v>
      </c>
      <c r="E25" s="2">
        <v>55</v>
      </c>
      <c r="F25" s="2">
        <v>1</v>
      </c>
      <c r="G25" s="2">
        <v>2</v>
      </c>
      <c r="H25" s="18">
        <v>8</v>
      </c>
      <c r="I25" s="42"/>
    </row>
    <row r="26" spans="1:9" x14ac:dyDescent="0.35">
      <c r="A26" s="2" t="s">
        <v>6</v>
      </c>
      <c r="B26" s="2"/>
      <c r="C26" s="2">
        <v>64</v>
      </c>
      <c r="D26" s="2">
        <v>6</v>
      </c>
      <c r="E26" s="2">
        <v>87</v>
      </c>
      <c r="F26" s="2"/>
      <c r="G26" s="2">
        <v>14</v>
      </c>
      <c r="H26" s="18">
        <v>8</v>
      </c>
      <c r="I26" s="42"/>
    </row>
    <row r="27" spans="1:9" x14ac:dyDescent="0.35">
      <c r="A27" s="2" t="s">
        <v>14</v>
      </c>
      <c r="B27" s="2"/>
      <c r="C27" s="2"/>
      <c r="D27" s="2"/>
      <c r="E27" s="2"/>
      <c r="F27" s="2"/>
      <c r="G27" s="2"/>
      <c r="H27" s="2"/>
      <c r="I27" s="45"/>
    </row>
    <row r="28" spans="1:9" ht="15" thickBot="1" x14ac:dyDescent="0.4">
      <c r="A28" s="3" t="s">
        <v>7</v>
      </c>
      <c r="B28" s="5"/>
      <c r="C28" s="2">
        <f t="shared" ref="C28:H28" si="2">SUM(C21:C26)</f>
        <v>584</v>
      </c>
      <c r="D28" s="2">
        <f t="shared" si="2"/>
        <v>97</v>
      </c>
      <c r="E28" s="2">
        <f t="shared" si="2"/>
        <v>604</v>
      </c>
      <c r="F28" s="2">
        <f t="shared" si="2"/>
        <v>2</v>
      </c>
      <c r="G28" s="2">
        <f>SUM(G21:G26)</f>
        <v>19</v>
      </c>
      <c r="H28" s="2">
        <f t="shared" si="2"/>
        <v>21</v>
      </c>
      <c r="I28" s="43"/>
    </row>
    <row r="29" spans="1:9" ht="15" thickBot="1" x14ac:dyDescent="0.4">
      <c r="A29" s="10" t="s">
        <v>0</v>
      </c>
      <c r="B29" s="9"/>
      <c r="C29" s="8" t="s">
        <v>11</v>
      </c>
      <c r="D29" s="7" t="s">
        <v>12</v>
      </c>
      <c r="E29" s="7" t="s">
        <v>13</v>
      </c>
      <c r="F29" s="7" t="s">
        <v>9</v>
      </c>
      <c r="G29" s="15" t="s">
        <v>10</v>
      </c>
      <c r="H29" s="16" t="s">
        <v>8</v>
      </c>
      <c r="I29" s="41">
        <v>46086</v>
      </c>
    </row>
    <row r="30" spans="1:9" x14ac:dyDescent="0.35">
      <c r="A30" s="2" t="s">
        <v>1</v>
      </c>
      <c r="B30" s="6"/>
      <c r="C30" s="2">
        <v>31</v>
      </c>
      <c r="D30" s="2">
        <v>7</v>
      </c>
      <c r="E30" s="2">
        <v>75</v>
      </c>
      <c r="F30" s="2"/>
      <c r="G30" s="2"/>
      <c r="H30" s="20"/>
      <c r="I30" s="42"/>
    </row>
    <row r="31" spans="1:9" x14ac:dyDescent="0.35">
      <c r="A31" s="2" t="s">
        <v>2</v>
      </c>
      <c r="B31" s="2"/>
      <c r="C31" s="2">
        <v>98</v>
      </c>
      <c r="D31" s="2">
        <v>22</v>
      </c>
      <c r="E31" s="2">
        <v>310</v>
      </c>
      <c r="F31" s="2"/>
      <c r="G31" s="2">
        <v>1</v>
      </c>
      <c r="H31" s="18"/>
      <c r="I31" s="42"/>
    </row>
    <row r="32" spans="1:9" x14ac:dyDescent="0.35">
      <c r="A32" s="2" t="s">
        <v>3</v>
      </c>
      <c r="B32" s="2"/>
      <c r="C32" s="2">
        <v>97</v>
      </c>
      <c r="D32" s="2">
        <v>13</v>
      </c>
      <c r="E32" s="2">
        <v>270</v>
      </c>
      <c r="F32" s="2">
        <v>1</v>
      </c>
      <c r="G32" s="2"/>
      <c r="H32" s="18">
        <v>1</v>
      </c>
      <c r="I32" s="42"/>
    </row>
    <row r="33" spans="1:9" x14ac:dyDescent="0.35">
      <c r="A33" s="2" t="s">
        <v>4</v>
      </c>
      <c r="B33" s="2"/>
      <c r="C33" s="2">
        <v>78</v>
      </c>
      <c r="D33" s="2">
        <v>17</v>
      </c>
      <c r="E33" s="2">
        <v>171</v>
      </c>
      <c r="F33" s="2"/>
      <c r="G33" s="2">
        <v>1</v>
      </c>
      <c r="H33" s="18">
        <v>1</v>
      </c>
      <c r="I33" s="42"/>
    </row>
    <row r="34" spans="1:9" x14ac:dyDescent="0.35">
      <c r="A34" s="2" t="s">
        <v>5</v>
      </c>
      <c r="B34" s="2"/>
      <c r="C34" s="2">
        <v>49</v>
      </c>
      <c r="D34" s="2">
        <v>15</v>
      </c>
      <c r="E34" s="2">
        <v>112</v>
      </c>
      <c r="F34" s="2">
        <v>1</v>
      </c>
      <c r="G34" s="2"/>
      <c r="H34" s="18">
        <v>6</v>
      </c>
      <c r="I34" s="42"/>
    </row>
    <row r="35" spans="1:9" x14ac:dyDescent="0.35">
      <c r="A35" s="2" t="s">
        <v>6</v>
      </c>
      <c r="B35" s="2"/>
      <c r="C35" s="2">
        <v>43</v>
      </c>
      <c r="D35" s="2">
        <v>27</v>
      </c>
      <c r="E35" s="2">
        <v>200</v>
      </c>
      <c r="F35" s="2"/>
      <c r="G35" s="2">
        <v>1</v>
      </c>
      <c r="H35" s="18">
        <v>5</v>
      </c>
      <c r="I35" s="42"/>
    </row>
    <row r="36" spans="1:9" x14ac:dyDescent="0.35">
      <c r="A36" s="2" t="s">
        <v>14</v>
      </c>
      <c r="B36" s="2"/>
      <c r="C36" s="2"/>
      <c r="D36" s="2"/>
      <c r="E36" s="2"/>
      <c r="F36" s="2"/>
      <c r="G36" s="2"/>
      <c r="H36" s="18"/>
      <c r="I36" s="42"/>
    </row>
    <row r="37" spans="1:9" ht="15" thickBot="1" x14ac:dyDescent="0.4">
      <c r="A37" s="5" t="s">
        <v>7</v>
      </c>
      <c r="B37" s="5"/>
      <c r="C37" s="2">
        <f t="shared" ref="C37:H37" si="3">SUM(C30:C35)</f>
        <v>396</v>
      </c>
      <c r="D37" s="2">
        <f t="shared" si="3"/>
        <v>101</v>
      </c>
      <c r="E37" s="2">
        <f t="shared" si="3"/>
        <v>1138</v>
      </c>
      <c r="F37" s="2">
        <f t="shared" si="3"/>
        <v>2</v>
      </c>
      <c r="G37" s="2">
        <f>SUM(G30:G35)</f>
        <v>3</v>
      </c>
      <c r="H37" s="2">
        <f t="shared" si="3"/>
        <v>13</v>
      </c>
      <c r="I37" s="43"/>
    </row>
    <row r="38" spans="1:9" ht="15" thickBot="1" x14ac:dyDescent="0.4">
      <c r="A38" s="9" t="s">
        <v>0</v>
      </c>
      <c r="B38" s="9"/>
      <c r="C38" s="8" t="s">
        <v>11</v>
      </c>
      <c r="D38" s="7" t="s">
        <v>12</v>
      </c>
      <c r="E38" s="7" t="s">
        <v>13</v>
      </c>
      <c r="F38" s="7" t="s">
        <v>9</v>
      </c>
      <c r="G38" s="15" t="s">
        <v>10</v>
      </c>
      <c r="H38" s="16" t="s">
        <v>8</v>
      </c>
      <c r="I38" s="41">
        <v>46087</v>
      </c>
    </row>
    <row r="39" spans="1:9" x14ac:dyDescent="0.35">
      <c r="A39" s="13" t="s">
        <v>1</v>
      </c>
      <c r="B39" s="12"/>
      <c r="C39" s="21">
        <v>22</v>
      </c>
      <c r="D39" s="21">
        <v>19</v>
      </c>
      <c r="E39" s="21">
        <v>86</v>
      </c>
      <c r="F39" s="21"/>
      <c r="G39" s="27"/>
      <c r="H39" s="17"/>
      <c r="I39" s="42"/>
    </row>
    <row r="40" spans="1:9" x14ac:dyDescent="0.35">
      <c r="A40" s="2" t="s">
        <v>2</v>
      </c>
      <c r="B40" s="2"/>
      <c r="C40" s="2">
        <v>162</v>
      </c>
      <c r="D40" s="2">
        <v>28</v>
      </c>
      <c r="E40" s="2">
        <v>247</v>
      </c>
      <c r="F40" s="2">
        <v>1</v>
      </c>
      <c r="G40" s="2">
        <v>1</v>
      </c>
      <c r="H40" s="18">
        <v>1</v>
      </c>
      <c r="I40" s="42"/>
    </row>
    <row r="41" spans="1:9" x14ac:dyDescent="0.35">
      <c r="A41" s="2" t="s">
        <v>3</v>
      </c>
      <c r="B41" s="2"/>
      <c r="C41" s="2">
        <v>164</v>
      </c>
      <c r="D41" s="2">
        <v>36</v>
      </c>
      <c r="E41" s="2">
        <v>326</v>
      </c>
      <c r="F41" s="2">
        <v>1</v>
      </c>
      <c r="G41" s="2">
        <v>1</v>
      </c>
      <c r="H41" s="18">
        <v>2</v>
      </c>
      <c r="I41" s="42"/>
    </row>
    <row r="42" spans="1:9" x14ac:dyDescent="0.35">
      <c r="A42" s="2" t="s">
        <v>4</v>
      </c>
      <c r="B42" s="2"/>
      <c r="C42" s="2">
        <v>133</v>
      </c>
      <c r="D42" s="2">
        <v>24</v>
      </c>
      <c r="E42" s="2">
        <v>185</v>
      </c>
      <c r="F42" s="2">
        <v>1</v>
      </c>
      <c r="G42" s="2">
        <v>3</v>
      </c>
      <c r="H42" s="18"/>
      <c r="I42" s="42"/>
    </row>
    <row r="43" spans="1:9" x14ac:dyDescent="0.35">
      <c r="A43" s="2" t="s">
        <v>5</v>
      </c>
      <c r="B43" s="2"/>
      <c r="C43" s="2">
        <v>117</v>
      </c>
      <c r="D43" s="2">
        <v>22</v>
      </c>
      <c r="E43" s="2">
        <v>122</v>
      </c>
      <c r="F43" s="2"/>
      <c r="G43" s="2"/>
      <c r="H43" s="18">
        <v>7</v>
      </c>
      <c r="I43" s="42"/>
    </row>
    <row r="44" spans="1:9" x14ac:dyDescent="0.35">
      <c r="A44" s="2" t="s">
        <v>6</v>
      </c>
      <c r="B44" s="2"/>
      <c r="C44" s="2">
        <v>100</v>
      </c>
      <c r="D44" s="2">
        <v>14</v>
      </c>
      <c r="E44" s="2">
        <v>227</v>
      </c>
      <c r="F44" s="2"/>
      <c r="G44" s="2">
        <v>2</v>
      </c>
      <c r="H44" s="18">
        <v>12</v>
      </c>
      <c r="I44" s="42"/>
    </row>
    <row r="45" spans="1:9" x14ac:dyDescent="0.35">
      <c r="A45" s="2" t="s">
        <v>14</v>
      </c>
      <c r="B45" s="2"/>
      <c r="C45" s="2"/>
      <c r="D45" s="2"/>
      <c r="E45" s="2"/>
      <c r="F45" s="2"/>
      <c r="G45" s="2"/>
      <c r="H45" s="18"/>
      <c r="I45" s="42"/>
    </row>
    <row r="46" spans="1:9" ht="15" thickBot="1" x14ac:dyDescent="0.4">
      <c r="A46" s="5" t="s">
        <v>7</v>
      </c>
      <c r="B46" s="5"/>
      <c r="C46" s="23">
        <f>SUM(C39:C44)</f>
        <v>698</v>
      </c>
      <c r="D46" s="23">
        <f t="shared" ref="D46:F46" si="4">SUM(D39:D44)</f>
        <v>143</v>
      </c>
      <c r="E46" s="23">
        <f t="shared" si="4"/>
        <v>1193</v>
      </c>
      <c r="F46" s="23">
        <f t="shared" si="4"/>
        <v>3</v>
      </c>
      <c r="G46" s="23">
        <f>SUM(G39:G44)</f>
        <v>7</v>
      </c>
      <c r="H46" s="23">
        <f>SUM(H39:H44)</f>
        <v>22</v>
      </c>
      <c r="I46" s="42"/>
    </row>
    <row r="47" spans="1:9" ht="15" thickBot="1" x14ac:dyDescent="0.4">
      <c r="A47" s="24" t="s">
        <v>17</v>
      </c>
      <c r="B47" s="25"/>
      <c r="C47" s="25">
        <f>C46+C37+C28+C19++C10</f>
        <v>2776</v>
      </c>
      <c r="D47" s="25">
        <f>D46+D37+D28+D19++D10</f>
        <v>682</v>
      </c>
      <c r="E47" s="25">
        <f>E46+E37+E28+E19++E10</f>
        <v>5048</v>
      </c>
      <c r="F47" s="25">
        <f>F46+F37+F28+F19++F10</f>
        <v>20</v>
      </c>
      <c r="G47" s="25">
        <f>G46+G37+G28+G19++G10</f>
        <v>67</v>
      </c>
      <c r="H47" s="25">
        <f>H46+H37+H28+H19+H10</f>
        <v>102</v>
      </c>
      <c r="I47" s="28">
        <f>SUM(C47:H47)</f>
        <v>8695</v>
      </c>
    </row>
    <row r="49" spans="1:2" x14ac:dyDescent="0.35">
      <c r="A49" s="26" t="s">
        <v>16</v>
      </c>
      <c r="B49" s="26" t="s">
        <v>23</v>
      </c>
    </row>
    <row r="50" spans="1:2" x14ac:dyDescent="0.35">
      <c r="A50" s="2" t="s">
        <v>19</v>
      </c>
      <c r="B50" s="2">
        <v>45</v>
      </c>
    </row>
    <row r="51" spans="1:2" x14ac:dyDescent="0.35">
      <c r="A51" s="2" t="s">
        <v>18</v>
      </c>
      <c r="B51" s="2">
        <v>45</v>
      </c>
    </row>
    <row r="52" spans="1:2" x14ac:dyDescent="0.35">
      <c r="A52" s="2" t="s">
        <v>20</v>
      </c>
      <c r="B52" s="2">
        <v>130</v>
      </c>
    </row>
    <row r="53" spans="1:2" x14ac:dyDescent="0.35">
      <c r="A53" s="2" t="s">
        <v>21</v>
      </c>
      <c r="B53" s="2">
        <v>362</v>
      </c>
    </row>
    <row r="54" spans="1:2" x14ac:dyDescent="0.35">
      <c r="A54" s="2" t="s">
        <v>22</v>
      </c>
      <c r="B54" s="2">
        <v>24</v>
      </c>
    </row>
    <row r="55" spans="1:2" x14ac:dyDescent="0.35">
      <c r="A55" s="2" t="s">
        <v>24</v>
      </c>
      <c r="B55" s="35">
        <v>102</v>
      </c>
    </row>
    <row r="56" spans="1:2" x14ac:dyDescent="0.35">
      <c r="A56" s="2" t="s">
        <v>25</v>
      </c>
      <c r="B56" s="2">
        <f>F47+G47</f>
        <v>87</v>
      </c>
    </row>
  </sheetData>
  <mergeCells count="5">
    <mergeCell ref="I2:I10"/>
    <mergeCell ref="I12:I19"/>
    <mergeCell ref="I20:I28"/>
    <mergeCell ref="I29:I37"/>
    <mergeCell ref="I38:I46"/>
  </mergeCell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365D-C168-4C91-9AD9-39DB474442D5}">
  <dimension ref="A1:I56"/>
  <sheetViews>
    <sheetView topLeftCell="A42" workbookViewId="0">
      <selection activeCell="B55" sqref="B55"/>
    </sheetView>
  </sheetViews>
  <sheetFormatPr defaultRowHeight="14.5" x14ac:dyDescent="0.35"/>
  <cols>
    <col min="1" max="1" width="25.81640625" customWidth="1"/>
    <col min="2" max="2" width="12.1796875" bestFit="1" customWidth="1"/>
    <col min="3" max="3" width="14.36328125" customWidth="1"/>
    <col min="4" max="4" width="12.54296875" customWidth="1"/>
    <col min="5" max="5" width="10.6328125" customWidth="1"/>
    <col min="7" max="7" width="18.1796875" customWidth="1"/>
    <col min="8" max="8" width="11.90625" customWidth="1"/>
  </cols>
  <sheetData>
    <row r="1" spans="1:9" ht="15" thickBot="1" x14ac:dyDescent="0.4">
      <c r="A1" s="4" t="s">
        <v>27</v>
      </c>
      <c r="B1" s="4"/>
    </row>
    <row r="2" spans="1:9" ht="15" thickBot="1" x14ac:dyDescent="0.4">
      <c r="A2" s="29" t="s">
        <v>0</v>
      </c>
      <c r="B2" s="30" t="s">
        <v>15</v>
      </c>
      <c r="C2" s="31" t="s">
        <v>11</v>
      </c>
      <c r="D2" s="31" t="s">
        <v>12</v>
      </c>
      <c r="E2" s="31" t="s">
        <v>13</v>
      </c>
      <c r="F2" s="32" t="s">
        <v>9</v>
      </c>
      <c r="G2" s="33" t="s">
        <v>26</v>
      </c>
      <c r="H2" s="34" t="s">
        <v>8</v>
      </c>
      <c r="I2" s="41">
        <v>46090</v>
      </c>
    </row>
    <row r="3" spans="1:9" x14ac:dyDescent="0.35">
      <c r="A3" s="13" t="s">
        <v>1</v>
      </c>
      <c r="B3" s="12"/>
      <c r="C3" s="11">
        <v>48</v>
      </c>
      <c r="D3" s="11">
        <v>11</v>
      </c>
      <c r="E3" s="11">
        <v>69</v>
      </c>
      <c r="F3" s="11"/>
      <c r="G3" s="14"/>
      <c r="H3" s="17">
        <v>1</v>
      </c>
      <c r="I3" s="42"/>
    </row>
    <row r="4" spans="1:9" x14ac:dyDescent="0.35">
      <c r="A4" s="2" t="s">
        <v>2</v>
      </c>
      <c r="B4" s="2"/>
      <c r="C4" s="2">
        <v>156</v>
      </c>
      <c r="D4" s="2">
        <v>39</v>
      </c>
      <c r="E4" s="2">
        <v>218</v>
      </c>
      <c r="F4" s="2">
        <v>1</v>
      </c>
      <c r="G4" s="2"/>
      <c r="H4" s="18">
        <v>3</v>
      </c>
      <c r="I4" s="42"/>
    </row>
    <row r="5" spans="1:9" x14ac:dyDescent="0.35">
      <c r="A5" s="2" t="s">
        <v>3</v>
      </c>
      <c r="B5" s="2"/>
      <c r="C5" s="2">
        <v>160</v>
      </c>
      <c r="D5" s="2">
        <v>40</v>
      </c>
      <c r="E5" s="2">
        <v>165</v>
      </c>
      <c r="F5" s="2"/>
      <c r="G5" s="2"/>
      <c r="H5" s="18">
        <v>2</v>
      </c>
      <c r="I5" s="42"/>
    </row>
    <row r="6" spans="1:9" x14ac:dyDescent="0.35">
      <c r="A6" s="2" t="s">
        <v>4</v>
      </c>
      <c r="B6" s="2"/>
      <c r="C6" s="2">
        <v>119</v>
      </c>
      <c r="D6" s="2">
        <v>29</v>
      </c>
      <c r="E6" s="2">
        <v>125</v>
      </c>
      <c r="F6" s="2"/>
      <c r="G6" s="2"/>
      <c r="H6" s="18">
        <v>1</v>
      </c>
      <c r="I6" s="42"/>
    </row>
    <row r="7" spans="1:9" x14ac:dyDescent="0.35">
      <c r="A7" s="2" t="s">
        <v>5</v>
      </c>
      <c r="B7" s="2"/>
      <c r="C7" s="2">
        <v>76</v>
      </c>
      <c r="D7" s="2">
        <v>18</v>
      </c>
      <c r="E7" s="2">
        <v>112</v>
      </c>
      <c r="F7" s="2"/>
      <c r="G7" s="2">
        <v>1</v>
      </c>
      <c r="H7" s="18">
        <v>2</v>
      </c>
      <c r="I7" s="42"/>
    </row>
    <row r="8" spans="1:9" x14ac:dyDescent="0.35">
      <c r="A8" s="2" t="s">
        <v>6</v>
      </c>
      <c r="B8" s="2"/>
      <c r="C8" s="2">
        <v>80</v>
      </c>
      <c r="D8" s="2">
        <v>17</v>
      </c>
      <c r="E8" s="2">
        <v>210</v>
      </c>
      <c r="F8" s="2"/>
      <c r="G8" s="2">
        <v>3</v>
      </c>
      <c r="H8" s="18">
        <v>3</v>
      </c>
      <c r="I8" s="42"/>
    </row>
    <row r="9" spans="1:9" x14ac:dyDescent="0.35">
      <c r="A9" s="2" t="s">
        <v>14</v>
      </c>
      <c r="B9" s="2"/>
      <c r="C9" s="2"/>
      <c r="D9" s="2"/>
      <c r="E9" s="2"/>
      <c r="F9" s="2"/>
      <c r="G9" s="2"/>
      <c r="I9" s="42"/>
    </row>
    <row r="10" spans="1:9" ht="15" thickBot="1" x14ac:dyDescent="0.4">
      <c r="A10" s="3" t="s">
        <v>7</v>
      </c>
      <c r="B10" s="5"/>
      <c r="C10" s="2">
        <f>SUM(C3:C8)</f>
        <v>639</v>
      </c>
      <c r="D10" s="2">
        <f t="shared" ref="D10:H10" si="0">SUM(D3:D8)</f>
        <v>154</v>
      </c>
      <c r="E10" s="2">
        <f t="shared" si="0"/>
        <v>899</v>
      </c>
      <c r="F10" s="2">
        <f t="shared" si="0"/>
        <v>1</v>
      </c>
      <c r="G10" s="2">
        <f>SUM(G3:G8)</f>
        <v>4</v>
      </c>
      <c r="H10" s="2">
        <f t="shared" si="0"/>
        <v>12</v>
      </c>
      <c r="I10" s="43"/>
    </row>
    <row r="11" spans="1:9" ht="15" thickBot="1" x14ac:dyDescent="0.4">
      <c r="A11" s="10" t="s">
        <v>0</v>
      </c>
      <c r="B11" s="9"/>
      <c r="C11" s="7" t="s">
        <v>11</v>
      </c>
      <c r="D11" s="8" t="s">
        <v>12</v>
      </c>
      <c r="E11" s="7" t="s">
        <v>13</v>
      </c>
      <c r="F11" s="7" t="s">
        <v>9</v>
      </c>
      <c r="G11" s="15" t="s">
        <v>10</v>
      </c>
      <c r="H11" s="16" t="s">
        <v>8</v>
      </c>
      <c r="I11" s="19"/>
    </row>
    <row r="12" spans="1:9" x14ac:dyDescent="0.35">
      <c r="A12" s="13" t="s">
        <v>1</v>
      </c>
      <c r="B12" s="14"/>
      <c r="C12" s="11">
        <v>34</v>
      </c>
      <c r="D12" s="11">
        <v>9</v>
      </c>
      <c r="E12" s="11">
        <v>70</v>
      </c>
      <c r="F12" s="11"/>
      <c r="G12" s="1"/>
      <c r="H12" s="17"/>
      <c r="I12" s="44">
        <v>46091</v>
      </c>
    </row>
    <row r="13" spans="1:9" x14ac:dyDescent="0.35">
      <c r="A13" s="2" t="s">
        <v>2</v>
      </c>
      <c r="B13" s="6"/>
      <c r="C13" s="2">
        <v>101</v>
      </c>
      <c r="D13" s="2">
        <v>26</v>
      </c>
      <c r="E13" s="2">
        <v>309</v>
      </c>
      <c r="F13" s="2"/>
      <c r="G13" s="2"/>
      <c r="H13" s="18">
        <v>2</v>
      </c>
      <c r="I13" s="42"/>
    </row>
    <row r="14" spans="1:9" x14ac:dyDescent="0.35">
      <c r="A14" s="2" t="s">
        <v>3</v>
      </c>
      <c r="B14" s="2"/>
      <c r="C14" s="2">
        <v>85</v>
      </c>
      <c r="D14" s="2">
        <v>21</v>
      </c>
      <c r="E14" s="2">
        <v>200</v>
      </c>
      <c r="F14" s="2"/>
      <c r="G14" s="2"/>
      <c r="H14" s="18">
        <v>2</v>
      </c>
      <c r="I14" s="42"/>
    </row>
    <row r="15" spans="1:9" x14ac:dyDescent="0.35">
      <c r="A15" s="2" t="s">
        <v>4</v>
      </c>
      <c r="B15" s="2"/>
      <c r="C15" s="2">
        <v>87</v>
      </c>
      <c r="D15" s="2">
        <v>20</v>
      </c>
      <c r="E15" s="2">
        <v>144</v>
      </c>
      <c r="F15" s="2">
        <v>3</v>
      </c>
      <c r="G15" s="2"/>
      <c r="H15" s="18">
        <v>1</v>
      </c>
      <c r="I15" s="42"/>
    </row>
    <row r="16" spans="1:9" x14ac:dyDescent="0.35">
      <c r="A16" s="2" t="s">
        <v>5</v>
      </c>
      <c r="B16" s="2"/>
      <c r="C16" s="2">
        <v>61</v>
      </c>
      <c r="D16" s="2">
        <v>12</v>
      </c>
      <c r="E16" s="2">
        <v>106</v>
      </c>
      <c r="F16" s="2">
        <v>1</v>
      </c>
      <c r="G16" s="2">
        <v>1</v>
      </c>
      <c r="H16" s="18">
        <v>4</v>
      </c>
      <c r="I16" s="42"/>
    </row>
    <row r="17" spans="1:9" x14ac:dyDescent="0.35">
      <c r="A17" s="2" t="s">
        <v>6</v>
      </c>
      <c r="B17" s="2"/>
      <c r="C17" s="2">
        <v>74</v>
      </c>
      <c r="D17" s="2">
        <v>11</v>
      </c>
      <c r="E17" s="2">
        <v>141</v>
      </c>
      <c r="F17" s="2">
        <v>1</v>
      </c>
      <c r="G17" s="2"/>
      <c r="H17" s="18">
        <v>11</v>
      </c>
      <c r="I17" s="42"/>
    </row>
    <row r="18" spans="1:9" x14ac:dyDescent="0.35">
      <c r="A18" s="2" t="s">
        <v>14</v>
      </c>
      <c r="B18" s="2"/>
      <c r="I18" s="42"/>
    </row>
    <row r="19" spans="1:9" ht="15" thickBot="1" x14ac:dyDescent="0.4">
      <c r="A19" s="3" t="s">
        <v>7</v>
      </c>
      <c r="B19" s="5"/>
      <c r="C19" s="2">
        <f t="shared" ref="C19:H19" si="1">SUM(C12:C17)</f>
        <v>442</v>
      </c>
      <c r="D19" s="2">
        <f t="shared" si="1"/>
        <v>99</v>
      </c>
      <c r="E19" s="2">
        <f t="shared" si="1"/>
        <v>970</v>
      </c>
      <c r="F19" s="2">
        <f t="shared" si="1"/>
        <v>5</v>
      </c>
      <c r="G19" s="2">
        <f>SUM(G12:G17)</f>
        <v>1</v>
      </c>
      <c r="H19" s="2">
        <f t="shared" si="1"/>
        <v>20</v>
      </c>
      <c r="I19" s="43"/>
    </row>
    <row r="20" spans="1:9" ht="15" thickBot="1" x14ac:dyDescent="0.4">
      <c r="A20" s="10" t="s">
        <v>0</v>
      </c>
      <c r="B20" s="9"/>
      <c r="C20" s="8" t="s">
        <v>11</v>
      </c>
      <c r="D20" s="7" t="s">
        <v>12</v>
      </c>
      <c r="E20" s="7" t="s">
        <v>13</v>
      </c>
      <c r="F20" s="7" t="s">
        <v>9</v>
      </c>
      <c r="G20" s="15" t="s">
        <v>10</v>
      </c>
      <c r="H20" s="16" t="s">
        <v>8</v>
      </c>
      <c r="I20" s="41">
        <v>46092</v>
      </c>
    </row>
    <row r="21" spans="1:9" x14ac:dyDescent="0.35">
      <c r="A21" s="13" t="s">
        <v>1</v>
      </c>
      <c r="B21" s="12"/>
      <c r="C21" s="11">
        <v>28</v>
      </c>
      <c r="D21" s="11">
        <v>7</v>
      </c>
      <c r="E21" s="11">
        <v>61</v>
      </c>
      <c r="F21" s="11"/>
      <c r="G21" s="1"/>
      <c r="H21" s="17">
        <v>1</v>
      </c>
      <c r="I21" s="42"/>
    </row>
    <row r="22" spans="1:9" x14ac:dyDescent="0.35">
      <c r="A22" s="2" t="s">
        <v>2</v>
      </c>
      <c r="B22" s="2"/>
      <c r="C22" s="2">
        <v>110</v>
      </c>
      <c r="D22" s="2">
        <v>27</v>
      </c>
      <c r="E22" s="2">
        <v>190</v>
      </c>
      <c r="F22" s="2"/>
      <c r="G22" s="2">
        <v>1</v>
      </c>
      <c r="H22" s="18">
        <v>2</v>
      </c>
      <c r="I22" s="42"/>
    </row>
    <row r="23" spans="1:9" x14ac:dyDescent="0.35">
      <c r="A23" s="2" t="s">
        <v>3</v>
      </c>
      <c r="B23" s="2"/>
      <c r="C23" s="2">
        <v>113</v>
      </c>
      <c r="D23" s="2">
        <v>28</v>
      </c>
      <c r="E23" s="2">
        <v>204</v>
      </c>
      <c r="F23" s="2">
        <v>1</v>
      </c>
      <c r="G23" s="2">
        <v>1</v>
      </c>
      <c r="H23" s="18">
        <v>5</v>
      </c>
      <c r="I23" s="42"/>
    </row>
    <row r="24" spans="1:9" x14ac:dyDescent="0.35">
      <c r="A24" s="2" t="s">
        <v>4</v>
      </c>
      <c r="B24" s="2"/>
      <c r="C24" s="2">
        <v>92</v>
      </c>
      <c r="D24" s="2">
        <v>24</v>
      </c>
      <c r="E24" s="2">
        <v>136</v>
      </c>
      <c r="F24" s="2"/>
      <c r="G24" s="2">
        <v>1</v>
      </c>
      <c r="H24" s="18">
        <v>1</v>
      </c>
      <c r="I24" s="42"/>
    </row>
    <row r="25" spans="1:9" x14ac:dyDescent="0.35">
      <c r="A25" s="2" t="s">
        <v>5</v>
      </c>
      <c r="B25" s="2"/>
      <c r="C25" s="2">
        <v>60</v>
      </c>
      <c r="D25" s="2">
        <v>15</v>
      </c>
      <c r="E25" s="2">
        <v>96</v>
      </c>
      <c r="F25" s="2"/>
      <c r="G25" s="2">
        <v>1</v>
      </c>
      <c r="H25" s="18">
        <v>2</v>
      </c>
      <c r="I25" s="42"/>
    </row>
    <row r="26" spans="1:9" x14ac:dyDescent="0.35">
      <c r="A26" s="2" t="s">
        <v>6</v>
      </c>
      <c r="B26" s="2"/>
      <c r="C26" s="2">
        <v>49</v>
      </c>
      <c r="D26" s="2">
        <v>13</v>
      </c>
      <c r="E26" s="2">
        <v>131</v>
      </c>
      <c r="F26" s="2"/>
      <c r="G26" s="2">
        <v>1</v>
      </c>
      <c r="H26" s="18">
        <v>11</v>
      </c>
      <c r="I26" s="42"/>
    </row>
    <row r="27" spans="1:9" x14ac:dyDescent="0.35">
      <c r="A27" s="2" t="s">
        <v>14</v>
      </c>
      <c r="B27" s="2"/>
      <c r="C27" s="2"/>
      <c r="D27" s="2"/>
      <c r="E27" s="2"/>
      <c r="F27" s="2"/>
      <c r="G27" s="2"/>
      <c r="I27" s="42"/>
    </row>
    <row r="28" spans="1:9" ht="15" thickBot="1" x14ac:dyDescent="0.4">
      <c r="A28" s="3" t="s">
        <v>7</v>
      </c>
      <c r="B28" s="5"/>
      <c r="C28" s="2">
        <f t="shared" ref="C28:H28" si="2">SUM(C21:C26)</f>
        <v>452</v>
      </c>
      <c r="D28" s="2">
        <f t="shared" si="2"/>
        <v>114</v>
      </c>
      <c r="E28" s="2">
        <f t="shared" si="2"/>
        <v>818</v>
      </c>
      <c r="F28" s="2">
        <f t="shared" si="2"/>
        <v>1</v>
      </c>
      <c r="G28" s="2">
        <f>SUM(G21:G26)</f>
        <v>5</v>
      </c>
      <c r="H28" s="2">
        <f t="shared" si="2"/>
        <v>22</v>
      </c>
      <c r="I28" s="43"/>
    </row>
    <row r="29" spans="1:9" ht="15" thickBot="1" x14ac:dyDescent="0.4">
      <c r="A29" s="10" t="s">
        <v>0</v>
      </c>
      <c r="B29" s="9"/>
      <c r="C29" s="8" t="s">
        <v>11</v>
      </c>
      <c r="D29" s="7" t="s">
        <v>12</v>
      </c>
      <c r="E29" s="7" t="s">
        <v>13</v>
      </c>
      <c r="F29" s="7" t="s">
        <v>9</v>
      </c>
      <c r="G29" s="15" t="s">
        <v>10</v>
      </c>
      <c r="H29" s="16" t="s">
        <v>8</v>
      </c>
      <c r="I29" s="41">
        <v>46093</v>
      </c>
    </row>
    <row r="30" spans="1:9" x14ac:dyDescent="0.35">
      <c r="A30" s="2" t="s">
        <v>1</v>
      </c>
      <c r="B30" s="6"/>
      <c r="C30" s="2">
        <v>24</v>
      </c>
      <c r="D30" s="2">
        <v>7</v>
      </c>
      <c r="E30" s="2">
        <v>61</v>
      </c>
      <c r="F30" s="2"/>
      <c r="G30" s="2"/>
      <c r="H30" s="20"/>
      <c r="I30" s="42"/>
    </row>
    <row r="31" spans="1:9" x14ac:dyDescent="0.35">
      <c r="A31" s="2" t="s">
        <v>2</v>
      </c>
      <c r="B31" s="2"/>
      <c r="C31" s="2">
        <v>85</v>
      </c>
      <c r="D31" s="2">
        <v>24</v>
      </c>
      <c r="E31" s="2">
        <v>227</v>
      </c>
      <c r="F31" s="2">
        <v>1</v>
      </c>
      <c r="G31" s="2">
        <v>1</v>
      </c>
      <c r="H31" s="18">
        <v>2</v>
      </c>
      <c r="I31" s="42"/>
    </row>
    <row r="32" spans="1:9" x14ac:dyDescent="0.35">
      <c r="A32" s="2" t="s">
        <v>3</v>
      </c>
      <c r="B32" s="2"/>
      <c r="C32" s="2">
        <v>106</v>
      </c>
      <c r="D32" s="2">
        <v>31</v>
      </c>
      <c r="E32" s="2">
        <v>205</v>
      </c>
      <c r="F32" s="2"/>
      <c r="G32" s="2"/>
      <c r="H32" s="18">
        <v>1</v>
      </c>
      <c r="I32" s="42"/>
    </row>
    <row r="33" spans="1:9" x14ac:dyDescent="0.35">
      <c r="A33" s="2" t="s">
        <v>4</v>
      </c>
      <c r="B33" s="2"/>
      <c r="C33" s="2">
        <v>113</v>
      </c>
      <c r="D33" s="2">
        <v>19</v>
      </c>
      <c r="E33" s="2">
        <v>108</v>
      </c>
      <c r="F33" s="2">
        <v>1</v>
      </c>
      <c r="G33" s="2"/>
      <c r="H33" s="18">
        <v>3</v>
      </c>
      <c r="I33" s="42"/>
    </row>
    <row r="34" spans="1:9" x14ac:dyDescent="0.35">
      <c r="A34" s="2" t="s">
        <v>5</v>
      </c>
      <c r="B34" s="2"/>
      <c r="C34" s="2">
        <v>62</v>
      </c>
      <c r="D34" s="2">
        <v>14</v>
      </c>
      <c r="E34" s="2">
        <v>99</v>
      </c>
      <c r="F34" s="2"/>
      <c r="G34" s="2">
        <v>1</v>
      </c>
      <c r="H34" s="18">
        <v>5</v>
      </c>
      <c r="I34" s="42"/>
    </row>
    <row r="35" spans="1:9" x14ac:dyDescent="0.35">
      <c r="A35" s="2" t="s">
        <v>6</v>
      </c>
      <c r="B35" s="2"/>
      <c r="C35" s="2">
        <v>45</v>
      </c>
      <c r="D35" s="2">
        <v>12</v>
      </c>
      <c r="E35" s="2">
        <v>117</v>
      </c>
      <c r="F35" s="2"/>
      <c r="G35" s="2">
        <v>1</v>
      </c>
      <c r="H35" s="18">
        <v>6</v>
      </c>
      <c r="I35" s="42"/>
    </row>
    <row r="36" spans="1:9" x14ac:dyDescent="0.35">
      <c r="A36" s="2" t="s">
        <v>14</v>
      </c>
      <c r="B36" s="2"/>
      <c r="C36" s="2"/>
      <c r="D36" s="2"/>
      <c r="E36" s="2"/>
      <c r="F36" s="2"/>
      <c r="G36" s="2"/>
      <c r="H36" s="18"/>
      <c r="I36" s="42"/>
    </row>
    <row r="37" spans="1:9" ht="15" thickBot="1" x14ac:dyDescent="0.4">
      <c r="A37" s="5" t="s">
        <v>7</v>
      </c>
      <c r="B37" s="5"/>
      <c r="C37" s="2">
        <f t="shared" ref="C37:H37" si="3">SUM(C30:C35)</f>
        <v>435</v>
      </c>
      <c r="D37" s="2">
        <f t="shared" si="3"/>
        <v>107</v>
      </c>
      <c r="E37" s="2">
        <f t="shared" si="3"/>
        <v>817</v>
      </c>
      <c r="F37" s="2">
        <f t="shared" si="3"/>
        <v>2</v>
      </c>
      <c r="G37" s="2">
        <f>SUM(G30:G35)</f>
        <v>3</v>
      </c>
      <c r="H37" s="2">
        <f t="shared" si="3"/>
        <v>17</v>
      </c>
      <c r="I37" s="43"/>
    </row>
    <row r="38" spans="1:9" ht="15" thickBot="1" x14ac:dyDescent="0.4">
      <c r="A38" s="9" t="s">
        <v>0</v>
      </c>
      <c r="B38" s="9"/>
      <c r="C38" s="8" t="s">
        <v>11</v>
      </c>
      <c r="D38" s="7" t="s">
        <v>12</v>
      </c>
      <c r="E38" s="7" t="s">
        <v>13</v>
      </c>
      <c r="F38" s="7" t="s">
        <v>9</v>
      </c>
      <c r="G38" s="15" t="s">
        <v>10</v>
      </c>
      <c r="H38" s="16" t="s">
        <v>8</v>
      </c>
      <c r="I38" s="41">
        <v>46094</v>
      </c>
    </row>
    <row r="39" spans="1:9" x14ac:dyDescent="0.35">
      <c r="A39" s="13" t="s">
        <v>1</v>
      </c>
      <c r="B39" s="12"/>
      <c r="C39" s="11">
        <v>43</v>
      </c>
      <c r="D39" s="11">
        <v>5</v>
      </c>
      <c r="E39" s="11">
        <v>68</v>
      </c>
      <c r="F39" s="11"/>
      <c r="G39" s="1"/>
      <c r="H39" s="17"/>
      <c r="I39" s="42"/>
    </row>
    <row r="40" spans="1:9" x14ac:dyDescent="0.35">
      <c r="A40" s="2" t="s">
        <v>2</v>
      </c>
      <c r="B40" s="2"/>
      <c r="C40" s="2">
        <v>108</v>
      </c>
      <c r="D40" s="2">
        <v>39</v>
      </c>
      <c r="E40" s="2">
        <v>179</v>
      </c>
      <c r="F40" s="2"/>
      <c r="G40" s="2">
        <v>2</v>
      </c>
      <c r="H40" s="18"/>
      <c r="I40" s="42"/>
    </row>
    <row r="41" spans="1:9" x14ac:dyDescent="0.35">
      <c r="A41" s="2" t="s">
        <v>3</v>
      </c>
      <c r="B41" s="2"/>
      <c r="C41" s="2">
        <v>150</v>
      </c>
      <c r="D41" s="2">
        <v>27</v>
      </c>
      <c r="E41" s="2">
        <v>228</v>
      </c>
      <c r="F41" s="2"/>
      <c r="G41" s="2">
        <v>2</v>
      </c>
      <c r="H41" s="18">
        <v>3</v>
      </c>
      <c r="I41" s="42"/>
    </row>
    <row r="42" spans="1:9" x14ac:dyDescent="0.35">
      <c r="A42" s="2" t="s">
        <v>4</v>
      </c>
      <c r="B42" s="2"/>
      <c r="C42" s="2">
        <v>87</v>
      </c>
      <c r="D42" s="2">
        <v>28</v>
      </c>
      <c r="E42" s="2">
        <v>127</v>
      </c>
      <c r="F42" s="2"/>
      <c r="G42" s="2"/>
      <c r="H42" s="18"/>
      <c r="I42" s="42"/>
    </row>
    <row r="43" spans="1:9" x14ac:dyDescent="0.35">
      <c r="A43" s="2" t="s">
        <v>5</v>
      </c>
      <c r="B43" s="2"/>
      <c r="C43" s="2">
        <v>63</v>
      </c>
      <c r="D43" s="2">
        <v>13</v>
      </c>
      <c r="E43" s="2">
        <v>108</v>
      </c>
      <c r="F43" s="2"/>
      <c r="G43" s="2"/>
      <c r="H43" s="18">
        <v>1</v>
      </c>
      <c r="I43" s="42"/>
    </row>
    <row r="44" spans="1:9" x14ac:dyDescent="0.35">
      <c r="A44" s="2" t="s">
        <v>6</v>
      </c>
      <c r="B44" s="2"/>
      <c r="C44" s="2">
        <v>46</v>
      </c>
      <c r="D44" s="2">
        <v>33</v>
      </c>
      <c r="E44" s="2">
        <v>142</v>
      </c>
      <c r="F44" s="2">
        <v>1</v>
      </c>
      <c r="G44" s="2"/>
      <c r="H44" s="18">
        <v>7</v>
      </c>
      <c r="I44" s="42"/>
    </row>
    <row r="45" spans="1:9" x14ac:dyDescent="0.35">
      <c r="A45" s="2" t="s">
        <v>14</v>
      </c>
      <c r="B45" s="2"/>
      <c r="C45" s="2"/>
      <c r="D45" s="2"/>
      <c r="E45" s="2"/>
      <c r="F45" s="2"/>
      <c r="G45" s="2"/>
      <c r="H45" s="18"/>
      <c r="I45" s="42"/>
    </row>
    <row r="46" spans="1:9" ht="15" thickBot="1" x14ac:dyDescent="0.4">
      <c r="A46" s="5" t="s">
        <v>7</v>
      </c>
      <c r="B46" s="5"/>
      <c r="C46" s="23">
        <f>SUM(C39:C44)</f>
        <v>497</v>
      </c>
      <c r="D46" s="23">
        <f t="shared" ref="D46:F46" si="4">SUM(D39:D44)</f>
        <v>145</v>
      </c>
      <c r="E46" s="23">
        <f t="shared" si="4"/>
        <v>852</v>
      </c>
      <c r="F46" s="23">
        <f t="shared" si="4"/>
        <v>1</v>
      </c>
      <c r="G46" s="23">
        <f>SUM(G39:G44)</f>
        <v>4</v>
      </c>
      <c r="H46" s="23">
        <f>SUM(H39:H44)</f>
        <v>11</v>
      </c>
      <c r="I46" s="43"/>
    </row>
    <row r="47" spans="1:9" ht="15" thickBot="1" x14ac:dyDescent="0.4">
      <c r="A47" s="24" t="s">
        <v>17</v>
      </c>
      <c r="B47" s="25"/>
      <c r="C47" s="25">
        <f>C10+C19+C28+C37+C46</f>
        <v>2465</v>
      </c>
      <c r="D47" s="25">
        <f>D46+D37+D28+D19++D10</f>
        <v>619</v>
      </c>
      <c r="E47" s="25">
        <f>E46+E37+E28+E19++E10</f>
        <v>4356</v>
      </c>
      <c r="F47" s="25">
        <f>F46+F37+F28+F19+F10</f>
        <v>10</v>
      </c>
      <c r="G47" s="25">
        <f>G46+G37+G28+G19+G10</f>
        <v>17</v>
      </c>
      <c r="H47" s="25">
        <f>H46+H37+H28+H19+H10</f>
        <v>82</v>
      </c>
      <c r="I47" s="28">
        <f>SUM(C47:H47)</f>
        <v>7549</v>
      </c>
    </row>
    <row r="49" spans="1:2" x14ac:dyDescent="0.35">
      <c r="A49" s="26" t="s">
        <v>16</v>
      </c>
      <c r="B49" s="26" t="s">
        <v>23</v>
      </c>
    </row>
    <row r="50" spans="1:2" x14ac:dyDescent="0.35">
      <c r="A50" s="2" t="s">
        <v>19</v>
      </c>
      <c r="B50" s="2">
        <v>45</v>
      </c>
    </row>
    <row r="51" spans="1:2" x14ac:dyDescent="0.35">
      <c r="A51" s="2" t="s">
        <v>18</v>
      </c>
      <c r="B51" s="2">
        <v>45</v>
      </c>
    </row>
    <row r="52" spans="1:2" x14ac:dyDescent="0.35">
      <c r="A52" s="2" t="s">
        <v>20</v>
      </c>
      <c r="B52" s="2">
        <v>130</v>
      </c>
    </row>
    <row r="53" spans="1:2" x14ac:dyDescent="0.35">
      <c r="A53" s="2" t="s">
        <v>21</v>
      </c>
      <c r="B53" s="2">
        <v>955</v>
      </c>
    </row>
    <row r="54" spans="1:2" x14ac:dyDescent="0.35">
      <c r="A54" s="2" t="s">
        <v>22</v>
      </c>
      <c r="B54" s="2">
        <v>0</v>
      </c>
    </row>
    <row r="55" spans="1:2" x14ac:dyDescent="0.35">
      <c r="A55" s="2" t="s">
        <v>24</v>
      </c>
      <c r="B55" s="35">
        <v>82</v>
      </c>
    </row>
    <row r="56" spans="1:2" x14ac:dyDescent="0.35">
      <c r="A56" s="2" t="s">
        <v>25</v>
      </c>
      <c r="B56" s="2">
        <f>F47+G47</f>
        <v>27</v>
      </c>
    </row>
  </sheetData>
  <mergeCells count="5">
    <mergeCell ref="I2:I10"/>
    <mergeCell ref="I12:I19"/>
    <mergeCell ref="I20:I28"/>
    <mergeCell ref="I29:I37"/>
    <mergeCell ref="I38:I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7704-3F5D-4055-AA97-9D4D8F6B9B15}">
  <dimension ref="A1:I56"/>
  <sheetViews>
    <sheetView topLeftCell="A30" workbookViewId="0">
      <selection activeCell="C47" sqref="C47:E47"/>
    </sheetView>
  </sheetViews>
  <sheetFormatPr defaultRowHeight="14.5" x14ac:dyDescent="0.35"/>
  <cols>
    <col min="1" max="1" width="23.54296875" customWidth="1"/>
    <col min="2" max="2" width="12.1796875" bestFit="1" customWidth="1"/>
    <col min="6" max="6" width="8.36328125" bestFit="1" customWidth="1"/>
    <col min="7" max="7" width="16.1796875" bestFit="1" customWidth="1"/>
  </cols>
  <sheetData>
    <row r="1" spans="1:9" ht="15" thickBot="1" x14ac:dyDescent="0.4">
      <c r="A1" s="4" t="s">
        <v>27</v>
      </c>
      <c r="B1" s="4"/>
    </row>
    <row r="2" spans="1:9" ht="15" thickBot="1" x14ac:dyDescent="0.4">
      <c r="A2" s="29" t="s">
        <v>0</v>
      </c>
      <c r="B2" s="30" t="s">
        <v>15</v>
      </c>
      <c r="C2" s="31" t="s">
        <v>11</v>
      </c>
      <c r="D2" s="31" t="s">
        <v>12</v>
      </c>
      <c r="E2" s="31" t="s">
        <v>13</v>
      </c>
      <c r="F2" s="32" t="s">
        <v>9</v>
      </c>
      <c r="G2" s="33" t="s">
        <v>26</v>
      </c>
      <c r="H2" s="34" t="s">
        <v>8</v>
      </c>
      <c r="I2" s="41">
        <v>46097</v>
      </c>
    </row>
    <row r="3" spans="1:9" x14ac:dyDescent="0.35">
      <c r="A3" s="13" t="s">
        <v>1</v>
      </c>
      <c r="B3" s="12"/>
      <c r="C3" s="21">
        <v>61</v>
      </c>
      <c r="D3" s="21">
        <v>16</v>
      </c>
      <c r="E3" s="21">
        <v>72</v>
      </c>
      <c r="F3" s="21"/>
      <c r="G3" s="36"/>
      <c r="H3" s="17"/>
      <c r="I3" s="42"/>
    </row>
    <row r="4" spans="1:9" x14ac:dyDescent="0.35">
      <c r="A4" s="2" t="s">
        <v>2</v>
      </c>
      <c r="B4" s="2"/>
      <c r="C4" s="2">
        <v>153</v>
      </c>
      <c r="D4" s="2">
        <v>37</v>
      </c>
      <c r="E4" s="2">
        <v>222</v>
      </c>
      <c r="F4" s="2">
        <v>2</v>
      </c>
      <c r="G4" s="2">
        <v>2</v>
      </c>
      <c r="H4" s="18">
        <v>1</v>
      </c>
      <c r="I4" s="42"/>
    </row>
    <row r="5" spans="1:9" x14ac:dyDescent="0.35">
      <c r="A5" s="2" t="s">
        <v>3</v>
      </c>
      <c r="B5" s="2"/>
      <c r="C5" s="2">
        <v>209</v>
      </c>
      <c r="D5" s="2">
        <v>47</v>
      </c>
      <c r="E5" s="2">
        <v>228</v>
      </c>
      <c r="F5" s="2">
        <v>4</v>
      </c>
      <c r="G5" s="2">
        <v>3</v>
      </c>
      <c r="H5" s="18">
        <v>3</v>
      </c>
      <c r="I5" s="42"/>
    </row>
    <row r="6" spans="1:9" x14ac:dyDescent="0.35">
      <c r="A6" s="2" t="s">
        <v>4</v>
      </c>
      <c r="B6" s="2"/>
      <c r="C6" s="2">
        <v>158</v>
      </c>
      <c r="D6" s="2">
        <v>31</v>
      </c>
      <c r="E6" s="2">
        <v>170</v>
      </c>
      <c r="F6" s="2">
        <v>3</v>
      </c>
      <c r="G6" s="2">
        <v>4</v>
      </c>
      <c r="H6" s="18">
        <v>1</v>
      </c>
      <c r="I6" s="42"/>
    </row>
    <row r="7" spans="1:9" x14ac:dyDescent="0.35">
      <c r="A7" s="2" t="s">
        <v>5</v>
      </c>
      <c r="B7" s="2"/>
      <c r="C7" s="2">
        <v>86</v>
      </c>
      <c r="D7" s="2">
        <v>49</v>
      </c>
      <c r="E7" s="2">
        <v>146</v>
      </c>
      <c r="F7" s="2"/>
      <c r="G7" s="2"/>
      <c r="H7" s="18">
        <v>5</v>
      </c>
      <c r="I7" s="42"/>
    </row>
    <row r="8" spans="1:9" x14ac:dyDescent="0.35">
      <c r="A8" s="2" t="s">
        <v>6</v>
      </c>
      <c r="B8" s="2"/>
      <c r="C8" s="2">
        <v>80</v>
      </c>
      <c r="D8" s="2">
        <v>23</v>
      </c>
      <c r="E8" s="2">
        <v>177</v>
      </c>
      <c r="F8" s="2">
        <v>1</v>
      </c>
      <c r="G8" s="2">
        <v>3</v>
      </c>
      <c r="H8" s="18"/>
      <c r="I8" s="42"/>
    </row>
    <row r="9" spans="1:9" x14ac:dyDescent="0.35">
      <c r="A9" s="2" t="s">
        <v>14</v>
      </c>
      <c r="B9" s="2"/>
      <c r="C9" s="2"/>
      <c r="D9" s="2"/>
      <c r="E9" s="2"/>
      <c r="F9" s="2"/>
      <c r="G9" s="2"/>
      <c r="I9" s="42"/>
    </row>
    <row r="10" spans="1:9" ht="15" thickBot="1" x14ac:dyDescent="0.4">
      <c r="A10" s="3" t="s">
        <v>7</v>
      </c>
      <c r="B10" s="5"/>
      <c r="C10" s="2">
        <f>SUM(C3:C8)</f>
        <v>747</v>
      </c>
      <c r="D10" s="2">
        <f t="shared" ref="D10:H10" si="0">SUM(D3:D8)</f>
        <v>203</v>
      </c>
      <c r="E10" s="2">
        <f t="shared" si="0"/>
        <v>1015</v>
      </c>
      <c r="F10" s="2">
        <f t="shared" si="0"/>
        <v>10</v>
      </c>
      <c r="G10" s="2">
        <f>SUM(G3:G8)</f>
        <v>12</v>
      </c>
      <c r="H10" s="2">
        <f t="shared" si="0"/>
        <v>10</v>
      </c>
      <c r="I10" s="43"/>
    </row>
    <row r="11" spans="1:9" ht="15" thickBot="1" x14ac:dyDescent="0.4">
      <c r="A11" s="10" t="s">
        <v>0</v>
      </c>
      <c r="B11" s="9"/>
      <c r="C11" s="7" t="s">
        <v>11</v>
      </c>
      <c r="D11" s="8" t="s">
        <v>12</v>
      </c>
      <c r="E11" s="7" t="s">
        <v>13</v>
      </c>
      <c r="F11" s="7" t="s">
        <v>9</v>
      </c>
      <c r="G11" s="15" t="s">
        <v>10</v>
      </c>
      <c r="H11" s="16" t="s">
        <v>8</v>
      </c>
      <c r="I11" s="19"/>
    </row>
    <row r="12" spans="1:9" x14ac:dyDescent="0.35">
      <c r="A12" s="13" t="s">
        <v>1</v>
      </c>
      <c r="B12" s="14"/>
      <c r="C12" s="37">
        <v>22</v>
      </c>
      <c r="D12" s="37">
        <v>9</v>
      </c>
      <c r="E12" s="37">
        <v>70</v>
      </c>
      <c r="F12" s="37"/>
      <c r="G12" s="38"/>
      <c r="H12" s="39">
        <v>1</v>
      </c>
      <c r="I12" s="44">
        <v>46098</v>
      </c>
    </row>
    <row r="13" spans="1:9" x14ac:dyDescent="0.35">
      <c r="A13" s="2" t="s">
        <v>2</v>
      </c>
      <c r="B13" s="6"/>
      <c r="C13" s="2">
        <v>88</v>
      </c>
      <c r="D13" s="2">
        <v>25</v>
      </c>
      <c r="E13" s="2">
        <v>256</v>
      </c>
      <c r="F13" s="2">
        <v>1</v>
      </c>
      <c r="G13" s="2"/>
      <c r="H13" s="18">
        <v>1</v>
      </c>
      <c r="I13" s="42"/>
    </row>
    <row r="14" spans="1:9" x14ac:dyDescent="0.35">
      <c r="A14" s="2" t="s">
        <v>3</v>
      </c>
      <c r="B14" s="2"/>
      <c r="C14" s="2">
        <v>112</v>
      </c>
      <c r="D14" s="2">
        <v>28</v>
      </c>
      <c r="E14" s="2">
        <v>220</v>
      </c>
      <c r="F14" s="2"/>
      <c r="G14" s="2"/>
      <c r="H14" s="18">
        <v>2</v>
      </c>
      <c r="I14" s="42"/>
    </row>
    <row r="15" spans="1:9" x14ac:dyDescent="0.35">
      <c r="A15" s="2" t="s">
        <v>4</v>
      </c>
      <c r="B15" s="2"/>
      <c r="C15" s="2">
        <v>79</v>
      </c>
      <c r="D15" s="2">
        <v>23</v>
      </c>
      <c r="E15" s="2">
        <v>136</v>
      </c>
      <c r="F15" s="2">
        <v>2</v>
      </c>
      <c r="G15" s="2"/>
      <c r="H15" s="18">
        <v>6</v>
      </c>
      <c r="I15" s="42"/>
    </row>
    <row r="16" spans="1:9" x14ac:dyDescent="0.35">
      <c r="A16" s="2" t="s">
        <v>5</v>
      </c>
      <c r="B16" s="2"/>
      <c r="C16" s="2">
        <v>45</v>
      </c>
      <c r="D16" s="2">
        <v>18</v>
      </c>
      <c r="E16" s="2">
        <v>95</v>
      </c>
      <c r="F16" s="2"/>
      <c r="G16" s="2"/>
      <c r="H16" s="18">
        <v>2</v>
      </c>
      <c r="I16" s="42"/>
    </row>
    <row r="17" spans="1:9" x14ac:dyDescent="0.35">
      <c r="A17" s="2" t="s">
        <v>6</v>
      </c>
      <c r="B17" s="2"/>
      <c r="C17" s="2">
        <v>36</v>
      </c>
      <c r="D17" s="2">
        <v>29</v>
      </c>
      <c r="E17" s="2">
        <v>101</v>
      </c>
      <c r="F17" s="2"/>
      <c r="G17" s="2">
        <v>1</v>
      </c>
      <c r="H17" s="18">
        <v>15</v>
      </c>
      <c r="I17" s="42"/>
    </row>
    <row r="18" spans="1:9" x14ac:dyDescent="0.35">
      <c r="A18" s="2" t="s">
        <v>14</v>
      </c>
      <c r="B18" s="2"/>
      <c r="C18" s="2"/>
      <c r="D18" s="2"/>
      <c r="E18" s="2"/>
      <c r="F18" s="2"/>
      <c r="G18" s="2"/>
      <c r="I18" s="42"/>
    </row>
    <row r="19" spans="1:9" ht="15" thickBot="1" x14ac:dyDescent="0.4">
      <c r="A19" s="3" t="s">
        <v>7</v>
      </c>
      <c r="B19" s="5"/>
      <c r="C19" s="2">
        <f>SUM(C12:C17)</f>
        <v>382</v>
      </c>
      <c r="D19" s="2">
        <f t="shared" ref="D19:H19" si="1">SUM(D12:D17)</f>
        <v>132</v>
      </c>
      <c r="E19" s="2">
        <f t="shared" si="1"/>
        <v>878</v>
      </c>
      <c r="F19" s="2">
        <f t="shared" si="1"/>
        <v>3</v>
      </c>
      <c r="G19" s="2">
        <f>SUM(G12:G17)</f>
        <v>1</v>
      </c>
      <c r="H19" s="2">
        <f t="shared" si="1"/>
        <v>27</v>
      </c>
      <c r="I19" s="43"/>
    </row>
    <row r="20" spans="1:9" ht="15" thickBot="1" x14ac:dyDescent="0.4">
      <c r="A20" s="10" t="s">
        <v>0</v>
      </c>
      <c r="B20" s="9"/>
      <c r="C20" s="8" t="s">
        <v>11</v>
      </c>
      <c r="D20" s="7" t="s">
        <v>12</v>
      </c>
      <c r="E20" s="7" t="s">
        <v>13</v>
      </c>
      <c r="F20" s="7" t="s">
        <v>9</v>
      </c>
      <c r="G20" s="15" t="s">
        <v>10</v>
      </c>
      <c r="H20" s="16" t="s">
        <v>8</v>
      </c>
      <c r="I20" s="41">
        <v>46099</v>
      </c>
    </row>
    <row r="21" spans="1:9" x14ac:dyDescent="0.35">
      <c r="A21" s="13" t="s">
        <v>1</v>
      </c>
      <c r="B21" s="12"/>
      <c r="C21" s="21">
        <v>24</v>
      </c>
      <c r="D21" s="21">
        <v>17</v>
      </c>
      <c r="E21" s="21">
        <v>68</v>
      </c>
      <c r="F21" s="21"/>
      <c r="G21" s="27">
        <v>2</v>
      </c>
      <c r="H21" s="40">
        <v>2</v>
      </c>
      <c r="I21" s="42"/>
    </row>
    <row r="22" spans="1:9" x14ac:dyDescent="0.35">
      <c r="A22" s="2" t="s">
        <v>2</v>
      </c>
      <c r="B22" s="2"/>
      <c r="C22" s="2">
        <v>100</v>
      </c>
      <c r="D22" s="2">
        <v>27</v>
      </c>
      <c r="E22" s="2">
        <v>234</v>
      </c>
      <c r="F22" s="2">
        <v>6</v>
      </c>
      <c r="G22" s="2"/>
      <c r="H22" s="18"/>
      <c r="I22" s="42"/>
    </row>
    <row r="23" spans="1:9" x14ac:dyDescent="0.35">
      <c r="A23" s="2" t="s">
        <v>3</v>
      </c>
      <c r="B23" s="2"/>
      <c r="C23" s="2">
        <v>99</v>
      </c>
      <c r="D23" s="2">
        <v>24</v>
      </c>
      <c r="E23" s="2">
        <v>236</v>
      </c>
      <c r="F23" s="2">
        <v>1</v>
      </c>
      <c r="G23" s="2"/>
      <c r="H23" s="18">
        <v>3</v>
      </c>
      <c r="I23" s="42"/>
    </row>
    <row r="24" spans="1:9" x14ac:dyDescent="0.35">
      <c r="A24" s="2" t="s">
        <v>4</v>
      </c>
      <c r="B24" s="2"/>
      <c r="C24" s="2">
        <v>96</v>
      </c>
      <c r="D24" s="2">
        <v>25</v>
      </c>
      <c r="E24" s="2">
        <v>138</v>
      </c>
      <c r="F24" s="2">
        <v>2</v>
      </c>
      <c r="G24" s="2">
        <v>1</v>
      </c>
      <c r="H24" s="18">
        <v>4</v>
      </c>
      <c r="I24" s="42"/>
    </row>
    <row r="25" spans="1:9" x14ac:dyDescent="0.35">
      <c r="A25" s="2" t="s">
        <v>5</v>
      </c>
      <c r="B25" s="2"/>
      <c r="C25" s="2">
        <v>55</v>
      </c>
      <c r="D25" s="2">
        <v>16</v>
      </c>
      <c r="E25" s="2">
        <v>130</v>
      </c>
      <c r="F25" s="2">
        <v>5</v>
      </c>
      <c r="G25" s="2">
        <v>1</v>
      </c>
      <c r="H25" s="18">
        <v>9</v>
      </c>
      <c r="I25" s="42"/>
    </row>
    <row r="26" spans="1:9" x14ac:dyDescent="0.35">
      <c r="A26" s="2" t="s">
        <v>6</v>
      </c>
      <c r="B26" s="2"/>
      <c r="C26" s="2">
        <v>57</v>
      </c>
      <c r="D26" s="2">
        <v>18</v>
      </c>
      <c r="E26" s="2">
        <v>140</v>
      </c>
      <c r="F26" s="2"/>
      <c r="G26" s="2">
        <v>2</v>
      </c>
      <c r="H26" s="18">
        <v>9</v>
      </c>
      <c r="I26" s="42"/>
    </row>
    <row r="27" spans="1:9" x14ac:dyDescent="0.35">
      <c r="A27" s="2" t="s">
        <v>14</v>
      </c>
      <c r="B27" s="2"/>
      <c r="C27" s="2"/>
      <c r="D27" s="2"/>
      <c r="E27" s="2"/>
      <c r="F27" s="2"/>
      <c r="G27" s="2"/>
      <c r="I27" s="42"/>
    </row>
    <row r="28" spans="1:9" ht="15" thickBot="1" x14ac:dyDescent="0.4">
      <c r="A28" s="3" t="s">
        <v>7</v>
      </c>
      <c r="B28" s="5"/>
      <c r="C28" s="2">
        <f>SUM(C21:C26)</f>
        <v>431</v>
      </c>
      <c r="D28" s="2">
        <f t="shared" ref="D28:H28" si="2">SUM(D21:D26)</f>
        <v>127</v>
      </c>
      <c r="E28" s="2">
        <f t="shared" si="2"/>
        <v>946</v>
      </c>
      <c r="F28" s="2">
        <f t="shared" si="2"/>
        <v>14</v>
      </c>
      <c r="G28" s="2">
        <f>SUM(G21:G26)</f>
        <v>6</v>
      </c>
      <c r="H28" s="2">
        <f t="shared" si="2"/>
        <v>27</v>
      </c>
      <c r="I28" s="43"/>
    </row>
    <row r="29" spans="1:9" ht="15" thickBot="1" x14ac:dyDescent="0.4">
      <c r="A29" s="10" t="s">
        <v>0</v>
      </c>
      <c r="B29" s="9"/>
      <c r="C29" s="8" t="s">
        <v>11</v>
      </c>
      <c r="D29" s="7" t="s">
        <v>12</v>
      </c>
      <c r="E29" s="7" t="s">
        <v>13</v>
      </c>
      <c r="F29" s="7" t="s">
        <v>9</v>
      </c>
      <c r="G29" s="15" t="s">
        <v>10</v>
      </c>
      <c r="H29" s="16" t="s">
        <v>8</v>
      </c>
      <c r="I29" s="41">
        <v>46100</v>
      </c>
    </row>
    <row r="30" spans="1:9" x14ac:dyDescent="0.35">
      <c r="A30" s="2" t="s">
        <v>1</v>
      </c>
      <c r="B30" s="6"/>
      <c r="C30" s="2">
        <v>43</v>
      </c>
      <c r="D30" s="2">
        <v>13</v>
      </c>
      <c r="E30" s="2">
        <v>72</v>
      </c>
      <c r="F30" s="2"/>
      <c r="G30" s="2"/>
      <c r="H30" s="20"/>
      <c r="I30" s="42"/>
    </row>
    <row r="31" spans="1:9" x14ac:dyDescent="0.35">
      <c r="A31" s="2" t="s">
        <v>2</v>
      </c>
      <c r="B31" s="2"/>
      <c r="C31" s="2">
        <v>123</v>
      </c>
      <c r="D31" s="2">
        <v>32</v>
      </c>
      <c r="E31" s="2">
        <v>198</v>
      </c>
      <c r="F31" s="2"/>
      <c r="G31" s="2"/>
      <c r="H31" s="18"/>
      <c r="I31" s="42"/>
    </row>
    <row r="32" spans="1:9" x14ac:dyDescent="0.35">
      <c r="A32" s="2" t="s">
        <v>3</v>
      </c>
      <c r="B32" s="2"/>
      <c r="C32" s="2">
        <v>126</v>
      </c>
      <c r="D32" s="2">
        <v>21</v>
      </c>
      <c r="E32" s="2">
        <v>205</v>
      </c>
      <c r="F32" s="2">
        <v>2</v>
      </c>
      <c r="G32" s="2">
        <v>1</v>
      </c>
      <c r="H32" s="18">
        <v>2</v>
      </c>
      <c r="I32" s="42"/>
    </row>
    <row r="33" spans="1:9" x14ac:dyDescent="0.35">
      <c r="A33" s="2" t="s">
        <v>4</v>
      </c>
      <c r="B33" s="2"/>
      <c r="C33" s="2">
        <v>106</v>
      </c>
      <c r="D33" s="2">
        <v>25</v>
      </c>
      <c r="E33" s="2">
        <v>127</v>
      </c>
      <c r="F33" s="2">
        <v>1</v>
      </c>
      <c r="G33" s="2"/>
      <c r="H33" s="18">
        <v>3</v>
      </c>
      <c r="I33" s="42"/>
    </row>
    <row r="34" spans="1:9" x14ac:dyDescent="0.35">
      <c r="A34" s="2" t="s">
        <v>5</v>
      </c>
      <c r="B34" s="2"/>
      <c r="C34" s="2">
        <v>61</v>
      </c>
      <c r="D34" s="2">
        <v>17</v>
      </c>
      <c r="E34" s="2">
        <v>78</v>
      </c>
      <c r="F34" s="2"/>
      <c r="G34" s="2">
        <v>1</v>
      </c>
      <c r="H34" s="18">
        <v>2</v>
      </c>
      <c r="I34" s="42"/>
    </row>
    <row r="35" spans="1:9" x14ac:dyDescent="0.35">
      <c r="A35" s="2" t="s">
        <v>6</v>
      </c>
      <c r="B35" s="2"/>
      <c r="C35" s="2">
        <v>70</v>
      </c>
      <c r="D35" s="2">
        <v>9</v>
      </c>
      <c r="E35" s="2">
        <v>157</v>
      </c>
      <c r="F35" s="2">
        <v>1</v>
      </c>
      <c r="G35" s="2">
        <v>5</v>
      </c>
      <c r="H35" s="18">
        <v>5</v>
      </c>
      <c r="I35" s="42"/>
    </row>
    <row r="36" spans="1:9" x14ac:dyDescent="0.35">
      <c r="A36" s="2" t="s">
        <v>14</v>
      </c>
      <c r="B36" s="2"/>
      <c r="C36" s="2"/>
      <c r="D36" s="2"/>
      <c r="E36" s="2"/>
      <c r="F36" s="2"/>
      <c r="G36" s="2"/>
      <c r="H36" s="18"/>
      <c r="I36" s="42"/>
    </row>
    <row r="37" spans="1:9" ht="15" thickBot="1" x14ac:dyDescent="0.4">
      <c r="A37" s="5" t="s">
        <v>7</v>
      </c>
      <c r="B37" s="5"/>
      <c r="C37" s="2">
        <f>SUM(C30:C35)</f>
        <v>529</v>
      </c>
      <c r="D37" s="2">
        <f t="shared" ref="D37:H37" si="3">SUM(D30:D35)</f>
        <v>117</v>
      </c>
      <c r="E37" s="2">
        <f t="shared" si="3"/>
        <v>837</v>
      </c>
      <c r="F37" s="2">
        <f t="shared" si="3"/>
        <v>4</v>
      </c>
      <c r="G37" s="2">
        <f>SUM(G30:G35)</f>
        <v>7</v>
      </c>
      <c r="H37" s="2">
        <f t="shared" si="3"/>
        <v>12</v>
      </c>
      <c r="I37" s="43"/>
    </row>
    <row r="38" spans="1:9" ht="15" thickBot="1" x14ac:dyDescent="0.4">
      <c r="A38" s="9" t="s">
        <v>0</v>
      </c>
      <c r="B38" s="9"/>
      <c r="C38" s="8" t="s">
        <v>11</v>
      </c>
      <c r="D38" s="7" t="s">
        <v>12</v>
      </c>
      <c r="E38" s="7" t="s">
        <v>13</v>
      </c>
      <c r="F38" s="7" t="s">
        <v>9</v>
      </c>
      <c r="G38" s="15" t="s">
        <v>10</v>
      </c>
      <c r="H38" s="16" t="s">
        <v>8</v>
      </c>
      <c r="I38" s="41">
        <v>46101</v>
      </c>
    </row>
    <row r="39" spans="1:9" x14ac:dyDescent="0.35">
      <c r="A39" s="13" t="s">
        <v>1</v>
      </c>
      <c r="B39" s="12"/>
      <c r="C39" s="21">
        <v>29</v>
      </c>
      <c r="D39" s="21">
        <v>8</v>
      </c>
      <c r="E39" s="21">
        <v>64</v>
      </c>
      <c r="F39" s="21"/>
      <c r="G39" s="27"/>
      <c r="H39" s="17"/>
      <c r="I39" s="42"/>
    </row>
    <row r="40" spans="1:9" x14ac:dyDescent="0.35">
      <c r="A40" s="2" t="s">
        <v>2</v>
      </c>
      <c r="B40" s="2"/>
      <c r="C40" s="2">
        <v>103</v>
      </c>
      <c r="D40" s="2">
        <v>28</v>
      </c>
      <c r="E40" s="2">
        <v>259</v>
      </c>
      <c r="F40" s="2">
        <v>2</v>
      </c>
      <c r="G40" s="2">
        <v>4</v>
      </c>
      <c r="H40" s="18">
        <v>1</v>
      </c>
      <c r="I40" s="42"/>
    </row>
    <row r="41" spans="1:9" x14ac:dyDescent="0.35">
      <c r="A41" s="2" t="s">
        <v>3</v>
      </c>
      <c r="B41" s="2"/>
      <c r="C41" s="2">
        <v>130</v>
      </c>
      <c r="D41" s="2">
        <v>21</v>
      </c>
      <c r="E41" s="2">
        <v>218</v>
      </c>
      <c r="F41" s="2">
        <v>1</v>
      </c>
      <c r="G41" s="2"/>
      <c r="H41" s="18">
        <v>2</v>
      </c>
      <c r="I41" s="42"/>
    </row>
    <row r="42" spans="1:9" x14ac:dyDescent="0.35">
      <c r="A42" s="2" t="s">
        <v>4</v>
      </c>
      <c r="B42" s="2"/>
      <c r="C42" s="2">
        <v>107</v>
      </c>
      <c r="D42" s="2">
        <v>29</v>
      </c>
      <c r="E42" s="2">
        <v>126</v>
      </c>
      <c r="F42" s="2">
        <v>1</v>
      </c>
      <c r="G42" s="2"/>
      <c r="H42" s="18">
        <v>2</v>
      </c>
      <c r="I42" s="42"/>
    </row>
    <row r="43" spans="1:9" x14ac:dyDescent="0.35">
      <c r="A43" s="2" t="s">
        <v>5</v>
      </c>
      <c r="B43" s="2"/>
      <c r="C43" s="2">
        <v>53</v>
      </c>
      <c r="D43" s="2">
        <v>13</v>
      </c>
      <c r="E43" s="2">
        <v>77</v>
      </c>
      <c r="F43" s="2">
        <v>5</v>
      </c>
      <c r="G43" s="2"/>
      <c r="H43" s="18">
        <v>2</v>
      </c>
      <c r="I43" s="42"/>
    </row>
    <row r="44" spans="1:9" x14ac:dyDescent="0.35">
      <c r="A44" s="2" t="s">
        <v>6</v>
      </c>
      <c r="B44" s="2"/>
      <c r="C44" s="2">
        <v>45</v>
      </c>
      <c r="D44" s="2">
        <v>15</v>
      </c>
      <c r="E44" s="2">
        <v>131</v>
      </c>
      <c r="F44" s="2">
        <v>2</v>
      </c>
      <c r="G44" s="2">
        <v>2</v>
      </c>
      <c r="H44" s="18">
        <v>9</v>
      </c>
      <c r="I44" s="42"/>
    </row>
    <row r="45" spans="1:9" x14ac:dyDescent="0.35">
      <c r="A45" s="2" t="s">
        <v>14</v>
      </c>
      <c r="B45" s="2"/>
      <c r="C45" s="2"/>
      <c r="D45" s="2"/>
      <c r="E45" s="2"/>
      <c r="F45" s="2"/>
      <c r="G45" s="2"/>
      <c r="H45" s="18"/>
      <c r="I45" s="42"/>
    </row>
    <row r="46" spans="1:9" ht="15" thickBot="1" x14ac:dyDescent="0.4">
      <c r="A46" s="5" t="s">
        <v>7</v>
      </c>
      <c r="B46" s="5"/>
      <c r="C46" s="2">
        <f>SUM(C39:C44)</f>
        <v>467</v>
      </c>
      <c r="D46" s="2">
        <f t="shared" ref="D46:H46" si="4">SUM(D39:D44)</f>
        <v>114</v>
      </c>
      <c r="E46" s="2">
        <f t="shared" si="4"/>
        <v>875</v>
      </c>
      <c r="F46" s="2">
        <f t="shared" si="4"/>
        <v>11</v>
      </c>
      <c r="G46" s="2">
        <f>SUM(G39:G44)</f>
        <v>6</v>
      </c>
      <c r="H46" s="2">
        <f t="shared" si="4"/>
        <v>16</v>
      </c>
      <c r="I46" s="43"/>
    </row>
    <row r="47" spans="1:9" ht="15" thickBot="1" x14ac:dyDescent="0.4">
      <c r="A47" s="24" t="s">
        <v>17</v>
      </c>
      <c r="B47" s="25"/>
      <c r="C47" s="25">
        <f>C10+C19+C28+C37+C46</f>
        <v>2556</v>
      </c>
      <c r="D47" s="25">
        <f>D46+D37+D28+D19++D10</f>
        <v>693</v>
      </c>
      <c r="E47" s="25">
        <f>E46+E37+E28+E19++E10</f>
        <v>4551</v>
      </c>
      <c r="F47" s="25">
        <f>F46+F37+F28+F19+F10</f>
        <v>42</v>
      </c>
      <c r="G47" s="25">
        <f>G46+G37+G28+G19+G10</f>
        <v>32</v>
      </c>
      <c r="H47" s="25">
        <f>H46+H37+H28+H19+H10</f>
        <v>92</v>
      </c>
      <c r="I47" s="28">
        <f>SUM(C47:H47)</f>
        <v>7966</v>
      </c>
    </row>
    <row r="49" spans="1:2" x14ac:dyDescent="0.35">
      <c r="A49" s="26" t="s">
        <v>16</v>
      </c>
      <c r="B49" s="26" t="s">
        <v>23</v>
      </c>
    </row>
    <row r="50" spans="1:2" x14ac:dyDescent="0.35">
      <c r="A50" s="2" t="s">
        <v>19</v>
      </c>
      <c r="B50" s="2">
        <v>45</v>
      </c>
    </row>
    <row r="51" spans="1:2" x14ac:dyDescent="0.35">
      <c r="A51" s="2" t="s">
        <v>18</v>
      </c>
      <c r="B51" s="2">
        <v>45</v>
      </c>
    </row>
    <row r="52" spans="1:2" x14ac:dyDescent="0.35">
      <c r="A52" s="2" t="s">
        <v>20</v>
      </c>
      <c r="B52" s="2">
        <v>130</v>
      </c>
    </row>
    <row r="53" spans="1:2" x14ac:dyDescent="0.35">
      <c r="A53" s="2" t="s">
        <v>21</v>
      </c>
      <c r="B53" s="2">
        <v>567</v>
      </c>
    </row>
    <row r="54" spans="1:2" x14ac:dyDescent="0.35">
      <c r="A54" s="2" t="s">
        <v>22</v>
      </c>
      <c r="B54" s="2">
        <v>0</v>
      </c>
    </row>
    <row r="55" spans="1:2" x14ac:dyDescent="0.35">
      <c r="A55" s="2" t="s">
        <v>24</v>
      </c>
      <c r="B55" s="35">
        <v>92</v>
      </c>
    </row>
    <row r="56" spans="1:2" x14ac:dyDescent="0.35">
      <c r="A56" s="2" t="s">
        <v>25</v>
      </c>
      <c r="B56" s="2">
        <f>F47+G47</f>
        <v>74</v>
      </c>
    </row>
  </sheetData>
  <mergeCells count="5">
    <mergeCell ref="I2:I10"/>
    <mergeCell ref="I12:I19"/>
    <mergeCell ref="I20:I28"/>
    <mergeCell ref="I29:I37"/>
    <mergeCell ref="I38:I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0AC9-CA15-4B55-8ED0-E6C9D3545B10}">
  <dimension ref="A1:Q56"/>
  <sheetViews>
    <sheetView tabSelected="1" topLeftCell="A21" workbookViewId="0">
      <selection activeCell="E55" sqref="E55"/>
    </sheetView>
  </sheetViews>
  <sheetFormatPr defaultRowHeight="14.5" x14ac:dyDescent="0.35"/>
  <cols>
    <col min="1" max="1" width="30.453125" customWidth="1"/>
    <col min="2" max="2" width="19.7265625" customWidth="1"/>
    <col min="6" max="6" width="12.90625" customWidth="1"/>
    <col min="7" max="7" width="15.453125" customWidth="1"/>
    <col min="8" max="8" width="11.1796875" customWidth="1"/>
  </cols>
  <sheetData>
    <row r="1" spans="1:9" ht="15" thickBot="1" x14ac:dyDescent="0.4">
      <c r="A1" s="4" t="s">
        <v>27</v>
      </c>
      <c r="B1" s="4"/>
    </row>
    <row r="2" spans="1:9" ht="15" thickBot="1" x14ac:dyDescent="0.4">
      <c r="A2" s="29" t="s">
        <v>0</v>
      </c>
      <c r="B2" s="30" t="s">
        <v>15</v>
      </c>
      <c r="C2" s="31" t="s">
        <v>11</v>
      </c>
      <c r="D2" s="31" t="s">
        <v>12</v>
      </c>
      <c r="E2" s="31" t="s">
        <v>13</v>
      </c>
      <c r="F2" s="32" t="s">
        <v>9</v>
      </c>
      <c r="G2" s="33" t="s">
        <v>26</v>
      </c>
      <c r="H2" s="34" t="s">
        <v>8</v>
      </c>
      <c r="I2" s="41">
        <v>46104</v>
      </c>
    </row>
    <row r="3" spans="1:9" x14ac:dyDescent="0.35">
      <c r="A3" s="13" t="s">
        <v>1</v>
      </c>
      <c r="B3" s="12"/>
      <c r="C3" s="21">
        <v>30</v>
      </c>
      <c r="D3" s="21">
        <v>20</v>
      </c>
      <c r="E3" s="21">
        <v>60</v>
      </c>
      <c r="F3" s="21"/>
      <c r="G3" s="36"/>
      <c r="H3" s="17"/>
      <c r="I3" s="42"/>
    </row>
    <row r="4" spans="1:9" x14ac:dyDescent="0.35">
      <c r="A4" s="2" t="s">
        <v>2</v>
      </c>
      <c r="B4" s="2"/>
      <c r="C4" s="2">
        <v>169</v>
      </c>
      <c r="D4" s="2">
        <v>31</v>
      </c>
      <c r="E4" s="2">
        <v>257</v>
      </c>
      <c r="F4" s="2"/>
      <c r="G4" s="2">
        <v>2</v>
      </c>
      <c r="H4" s="18">
        <v>1</v>
      </c>
      <c r="I4" s="42"/>
    </row>
    <row r="5" spans="1:9" x14ac:dyDescent="0.35">
      <c r="A5" s="2" t="s">
        <v>3</v>
      </c>
      <c r="B5" s="2"/>
      <c r="C5" s="2">
        <v>134</v>
      </c>
      <c r="D5" s="2">
        <v>46</v>
      </c>
      <c r="E5" s="2">
        <v>231</v>
      </c>
      <c r="F5" s="2"/>
      <c r="G5" s="2">
        <v>1</v>
      </c>
      <c r="H5" s="18">
        <v>7</v>
      </c>
      <c r="I5" s="42"/>
    </row>
    <row r="6" spans="1:9" x14ac:dyDescent="0.35">
      <c r="A6" s="2" t="s">
        <v>4</v>
      </c>
      <c r="B6" s="2"/>
      <c r="C6" s="2">
        <v>110</v>
      </c>
      <c r="D6" s="2">
        <v>39</v>
      </c>
      <c r="E6" s="2">
        <v>186</v>
      </c>
      <c r="F6" s="2">
        <v>2</v>
      </c>
      <c r="G6" s="2"/>
      <c r="H6" s="18">
        <v>4</v>
      </c>
      <c r="I6" s="42"/>
    </row>
    <row r="7" spans="1:9" x14ac:dyDescent="0.35">
      <c r="A7" s="2" t="s">
        <v>5</v>
      </c>
      <c r="B7" s="2"/>
      <c r="C7" s="2">
        <v>77</v>
      </c>
      <c r="D7" s="2">
        <v>35</v>
      </c>
      <c r="E7" s="2">
        <v>152</v>
      </c>
      <c r="F7" s="2"/>
      <c r="G7" s="2">
        <v>2</v>
      </c>
      <c r="H7" s="18">
        <v>4</v>
      </c>
      <c r="I7" s="42"/>
    </row>
    <row r="8" spans="1:9" x14ac:dyDescent="0.35">
      <c r="A8" s="2" t="s">
        <v>6</v>
      </c>
      <c r="B8" s="2"/>
      <c r="C8" s="2">
        <v>78</v>
      </c>
      <c r="D8" s="2">
        <v>37</v>
      </c>
      <c r="E8" s="2">
        <v>200</v>
      </c>
      <c r="F8" s="2"/>
      <c r="G8" s="2"/>
      <c r="H8" s="18">
        <v>7</v>
      </c>
      <c r="I8" s="42"/>
    </row>
    <row r="9" spans="1:9" x14ac:dyDescent="0.35">
      <c r="A9" s="2" t="s">
        <v>14</v>
      </c>
      <c r="B9" s="2"/>
      <c r="C9" s="2"/>
      <c r="D9" s="2"/>
      <c r="E9" s="2"/>
      <c r="F9" s="2"/>
      <c r="G9" s="2"/>
      <c r="I9" s="42"/>
    </row>
    <row r="10" spans="1:9" ht="15" thickBot="1" x14ac:dyDescent="0.4">
      <c r="A10" s="3" t="s">
        <v>7</v>
      </c>
      <c r="B10" s="5"/>
      <c r="C10" s="2">
        <f>SUM(C3:C8)</f>
        <v>598</v>
      </c>
      <c r="D10" s="2">
        <f t="shared" ref="D10:H10" si="0">SUM(D3:D8)</f>
        <v>208</v>
      </c>
      <c r="E10" s="2">
        <f t="shared" si="0"/>
        <v>1086</v>
      </c>
      <c r="F10" s="2">
        <f t="shared" si="0"/>
        <v>2</v>
      </c>
      <c r="G10" s="2">
        <f>SUM(G3:G8)</f>
        <v>5</v>
      </c>
      <c r="H10" s="2">
        <f t="shared" si="0"/>
        <v>23</v>
      </c>
      <c r="I10" s="43"/>
    </row>
    <row r="11" spans="1:9" ht="15" thickBot="1" x14ac:dyDescent="0.4">
      <c r="A11" s="10" t="s">
        <v>0</v>
      </c>
      <c r="B11" s="9"/>
      <c r="C11" s="7" t="s">
        <v>11</v>
      </c>
      <c r="D11" s="8" t="s">
        <v>12</v>
      </c>
      <c r="E11" s="7" t="s">
        <v>13</v>
      </c>
      <c r="F11" s="7" t="s">
        <v>9</v>
      </c>
      <c r="G11" s="15" t="s">
        <v>10</v>
      </c>
      <c r="H11" s="16" t="s">
        <v>8</v>
      </c>
      <c r="I11" s="19"/>
    </row>
    <row r="12" spans="1:9" x14ac:dyDescent="0.35">
      <c r="A12" s="13" t="s">
        <v>1</v>
      </c>
      <c r="B12" s="14"/>
      <c r="C12" s="37">
        <v>39</v>
      </c>
      <c r="D12" s="37">
        <v>9</v>
      </c>
      <c r="E12" s="37">
        <v>65</v>
      </c>
      <c r="F12" s="37"/>
      <c r="G12" s="38"/>
      <c r="H12" s="39"/>
      <c r="I12" s="44">
        <v>46105</v>
      </c>
    </row>
    <row r="13" spans="1:9" x14ac:dyDescent="0.35">
      <c r="A13" s="2" t="s">
        <v>2</v>
      </c>
      <c r="B13" s="6"/>
      <c r="C13" s="2">
        <v>161</v>
      </c>
      <c r="D13" s="2">
        <v>16</v>
      </c>
      <c r="E13" s="2">
        <v>293</v>
      </c>
      <c r="F13" s="2">
        <v>1</v>
      </c>
      <c r="G13" s="2"/>
      <c r="H13" s="18"/>
      <c r="I13" s="42"/>
    </row>
    <row r="14" spans="1:9" x14ac:dyDescent="0.35">
      <c r="A14" s="2" t="s">
        <v>3</v>
      </c>
      <c r="B14" s="2"/>
      <c r="C14" s="2">
        <v>146</v>
      </c>
      <c r="D14" s="2">
        <v>24</v>
      </c>
      <c r="E14" s="2">
        <v>217</v>
      </c>
      <c r="F14" s="2">
        <v>1</v>
      </c>
      <c r="G14" s="2">
        <v>2</v>
      </c>
      <c r="H14" s="18">
        <v>1</v>
      </c>
      <c r="I14" s="42"/>
    </row>
    <row r="15" spans="1:9" x14ac:dyDescent="0.35">
      <c r="A15" s="2" t="s">
        <v>4</v>
      </c>
      <c r="B15" s="2"/>
      <c r="C15" s="2">
        <v>112</v>
      </c>
      <c r="D15" s="2">
        <v>17</v>
      </c>
      <c r="E15" s="2">
        <v>181</v>
      </c>
      <c r="F15" s="2">
        <v>3</v>
      </c>
      <c r="G15" s="2"/>
      <c r="H15" s="18"/>
      <c r="I15" s="42"/>
    </row>
    <row r="16" spans="1:9" x14ac:dyDescent="0.35">
      <c r="A16" s="2" t="s">
        <v>5</v>
      </c>
      <c r="B16" s="2"/>
      <c r="C16" s="2">
        <v>55</v>
      </c>
      <c r="D16" s="2">
        <v>14</v>
      </c>
      <c r="E16" s="2">
        <v>104</v>
      </c>
      <c r="F16" s="2"/>
      <c r="G16" s="2">
        <v>2</v>
      </c>
      <c r="H16" s="18">
        <v>2</v>
      </c>
      <c r="I16" s="42"/>
    </row>
    <row r="17" spans="1:9" x14ac:dyDescent="0.35">
      <c r="A17" s="2" t="s">
        <v>6</v>
      </c>
      <c r="B17" s="2"/>
      <c r="C17" s="2">
        <v>65</v>
      </c>
      <c r="D17" s="2">
        <v>17</v>
      </c>
      <c r="E17" s="2">
        <v>116</v>
      </c>
      <c r="F17" s="2"/>
      <c r="G17" s="2"/>
      <c r="H17" s="18">
        <v>2</v>
      </c>
      <c r="I17" s="42"/>
    </row>
    <row r="18" spans="1:9" x14ac:dyDescent="0.35">
      <c r="A18" s="2" t="s">
        <v>14</v>
      </c>
      <c r="B18" s="2"/>
      <c r="C18" s="2"/>
      <c r="D18" s="2"/>
      <c r="E18" s="2"/>
      <c r="F18" s="2"/>
      <c r="G18" s="2"/>
      <c r="I18" s="42"/>
    </row>
    <row r="19" spans="1:9" ht="15" thickBot="1" x14ac:dyDescent="0.4">
      <c r="A19" s="3" t="s">
        <v>7</v>
      </c>
      <c r="B19" s="5"/>
      <c r="C19" s="2">
        <f>SUM(C12:C17)</f>
        <v>578</v>
      </c>
      <c r="D19" s="2">
        <f t="shared" ref="D19:H19" si="1">SUM(D12:D17)</f>
        <v>97</v>
      </c>
      <c r="E19" s="2">
        <f t="shared" si="1"/>
        <v>976</v>
      </c>
      <c r="F19" s="2">
        <f t="shared" si="1"/>
        <v>5</v>
      </c>
      <c r="G19" s="2">
        <f>SUM(G12:G17)</f>
        <v>4</v>
      </c>
      <c r="H19" s="2">
        <f t="shared" si="1"/>
        <v>5</v>
      </c>
      <c r="I19" s="43"/>
    </row>
    <row r="20" spans="1:9" ht="15" thickBot="1" x14ac:dyDescent="0.4">
      <c r="A20" s="10" t="s">
        <v>0</v>
      </c>
      <c r="B20" s="9"/>
      <c r="C20" s="8" t="s">
        <v>11</v>
      </c>
      <c r="D20" s="7" t="s">
        <v>12</v>
      </c>
      <c r="E20" s="7" t="s">
        <v>13</v>
      </c>
      <c r="F20" s="7" t="s">
        <v>9</v>
      </c>
      <c r="G20" s="15" t="s">
        <v>10</v>
      </c>
      <c r="H20" s="16" t="s">
        <v>8</v>
      </c>
      <c r="I20" s="41">
        <v>46106</v>
      </c>
    </row>
    <row r="21" spans="1:9" x14ac:dyDescent="0.35">
      <c r="A21" s="13" t="s">
        <v>1</v>
      </c>
      <c r="B21" s="12"/>
      <c r="C21" s="21">
        <v>34</v>
      </c>
      <c r="D21" s="21">
        <v>11</v>
      </c>
      <c r="E21" s="21">
        <v>63</v>
      </c>
      <c r="F21" s="21"/>
      <c r="G21" s="27"/>
      <c r="H21" s="40"/>
      <c r="I21" s="42"/>
    </row>
    <row r="22" spans="1:9" x14ac:dyDescent="0.35">
      <c r="A22" s="2" t="s">
        <v>2</v>
      </c>
      <c r="B22" s="2"/>
      <c r="C22" s="2">
        <v>143</v>
      </c>
      <c r="D22" s="2">
        <v>28</v>
      </c>
      <c r="E22" s="2">
        <v>190</v>
      </c>
      <c r="F22" s="2"/>
      <c r="G22" s="2">
        <v>1</v>
      </c>
      <c r="H22" s="18">
        <v>1</v>
      </c>
      <c r="I22" s="42"/>
    </row>
    <row r="23" spans="1:9" x14ac:dyDescent="0.35">
      <c r="A23" s="2" t="s">
        <v>3</v>
      </c>
      <c r="B23" s="2"/>
      <c r="C23" s="2">
        <v>174</v>
      </c>
      <c r="D23" s="2">
        <v>23</v>
      </c>
      <c r="E23" s="2">
        <v>197</v>
      </c>
      <c r="F23" s="2">
        <v>2</v>
      </c>
      <c r="G23" s="2">
        <v>2</v>
      </c>
      <c r="H23" s="18">
        <v>2</v>
      </c>
      <c r="I23" s="42"/>
    </row>
    <row r="24" spans="1:9" x14ac:dyDescent="0.35">
      <c r="A24" s="2" t="s">
        <v>4</v>
      </c>
      <c r="B24" s="2"/>
      <c r="C24" s="2">
        <v>110</v>
      </c>
      <c r="D24" s="2">
        <v>29</v>
      </c>
      <c r="E24" s="2">
        <v>109</v>
      </c>
      <c r="F24" s="2">
        <v>2</v>
      </c>
      <c r="G24" s="2">
        <v>3</v>
      </c>
      <c r="H24" s="18"/>
      <c r="I24" s="42"/>
    </row>
    <row r="25" spans="1:9" x14ac:dyDescent="0.35">
      <c r="A25" s="2" t="s">
        <v>5</v>
      </c>
      <c r="B25" s="2"/>
      <c r="C25" s="2">
        <v>61</v>
      </c>
      <c r="D25" s="2">
        <v>13</v>
      </c>
      <c r="E25" s="2">
        <v>72</v>
      </c>
      <c r="F25" s="2">
        <v>1</v>
      </c>
      <c r="G25" s="2"/>
      <c r="H25" s="18">
        <v>2</v>
      </c>
      <c r="I25" s="42"/>
    </row>
    <row r="26" spans="1:9" x14ac:dyDescent="0.35">
      <c r="A26" s="2" t="s">
        <v>6</v>
      </c>
      <c r="B26" s="2"/>
      <c r="C26" s="2">
        <v>60</v>
      </c>
      <c r="D26" s="2">
        <v>13</v>
      </c>
      <c r="E26" s="2">
        <v>97</v>
      </c>
      <c r="F26" s="2"/>
      <c r="G26" s="2"/>
      <c r="H26" s="18">
        <v>3</v>
      </c>
      <c r="I26" s="42"/>
    </row>
    <row r="27" spans="1:9" x14ac:dyDescent="0.35">
      <c r="A27" s="2" t="s">
        <v>14</v>
      </c>
      <c r="B27" s="2"/>
      <c r="C27" s="2"/>
      <c r="D27" s="2"/>
      <c r="E27" s="2"/>
      <c r="F27" s="2"/>
      <c r="G27" s="2"/>
      <c r="I27" s="42"/>
    </row>
    <row r="28" spans="1:9" ht="15" thickBot="1" x14ac:dyDescent="0.4">
      <c r="A28" s="3" t="s">
        <v>7</v>
      </c>
      <c r="B28" s="5"/>
      <c r="C28" s="2">
        <f>SUM(C21:C26)</f>
        <v>582</v>
      </c>
      <c r="D28" s="2">
        <f t="shared" ref="D28:H28" si="2">SUM(D21:D26)</f>
        <v>117</v>
      </c>
      <c r="E28" s="2">
        <f t="shared" si="2"/>
        <v>728</v>
      </c>
      <c r="F28" s="2">
        <f t="shared" si="2"/>
        <v>5</v>
      </c>
      <c r="G28" s="2">
        <f>SUM(G21:G26)</f>
        <v>6</v>
      </c>
      <c r="H28" s="2">
        <f t="shared" si="2"/>
        <v>8</v>
      </c>
      <c r="I28" s="43"/>
    </row>
    <row r="29" spans="1:9" ht="15" thickBot="1" x14ac:dyDescent="0.4">
      <c r="A29" s="10" t="s">
        <v>0</v>
      </c>
      <c r="B29" s="9"/>
      <c r="C29" s="8" t="s">
        <v>11</v>
      </c>
      <c r="D29" s="7" t="s">
        <v>12</v>
      </c>
      <c r="E29" s="7" t="s">
        <v>13</v>
      </c>
      <c r="F29" s="7" t="s">
        <v>9</v>
      </c>
      <c r="G29" s="15" t="s">
        <v>10</v>
      </c>
      <c r="H29" s="16" t="s">
        <v>8</v>
      </c>
      <c r="I29" s="41">
        <v>46107</v>
      </c>
    </row>
    <row r="30" spans="1:9" x14ac:dyDescent="0.35">
      <c r="A30" s="2" t="s">
        <v>1</v>
      </c>
      <c r="B30" s="6"/>
      <c r="C30" s="2">
        <v>29</v>
      </c>
      <c r="D30" s="2">
        <v>11</v>
      </c>
      <c r="E30" s="2">
        <v>61</v>
      </c>
      <c r="F30" s="2"/>
      <c r="G30" s="2"/>
      <c r="H30" s="20"/>
      <c r="I30" s="42"/>
    </row>
    <row r="31" spans="1:9" x14ac:dyDescent="0.35">
      <c r="A31" s="2" t="s">
        <v>2</v>
      </c>
      <c r="B31" s="2"/>
      <c r="C31" s="2">
        <v>105</v>
      </c>
      <c r="D31" s="2">
        <v>21</v>
      </c>
      <c r="E31" s="2">
        <v>154</v>
      </c>
      <c r="F31" s="2"/>
      <c r="G31" s="2"/>
      <c r="H31" s="18">
        <v>1</v>
      </c>
      <c r="I31" s="42"/>
    </row>
    <row r="32" spans="1:9" x14ac:dyDescent="0.35">
      <c r="A32" s="2" t="s">
        <v>3</v>
      </c>
      <c r="B32" s="2"/>
      <c r="C32" s="2">
        <v>110</v>
      </c>
      <c r="D32" s="2">
        <v>25</v>
      </c>
      <c r="E32" s="2">
        <v>170</v>
      </c>
      <c r="F32" s="2">
        <v>2</v>
      </c>
      <c r="G32" s="2"/>
      <c r="H32" s="18">
        <v>1</v>
      </c>
      <c r="I32" s="42"/>
    </row>
    <row r="33" spans="1:17" x14ac:dyDescent="0.35">
      <c r="A33" s="2" t="s">
        <v>4</v>
      </c>
      <c r="B33" s="2"/>
      <c r="C33" s="2">
        <v>109</v>
      </c>
      <c r="D33" s="2">
        <v>23</v>
      </c>
      <c r="E33" s="2">
        <v>117</v>
      </c>
      <c r="F33" s="2">
        <v>2</v>
      </c>
      <c r="G33" s="2">
        <v>3</v>
      </c>
      <c r="H33" s="18"/>
      <c r="I33" s="42"/>
    </row>
    <row r="34" spans="1:17" x14ac:dyDescent="0.35">
      <c r="A34" s="2" t="s">
        <v>5</v>
      </c>
      <c r="B34" s="2"/>
      <c r="C34" s="2">
        <v>51</v>
      </c>
      <c r="D34" s="2">
        <v>13</v>
      </c>
      <c r="E34" s="2">
        <v>70</v>
      </c>
      <c r="F34" s="2"/>
      <c r="G34" s="2">
        <v>5</v>
      </c>
      <c r="H34" s="18"/>
      <c r="I34" s="42"/>
    </row>
    <row r="35" spans="1:17" x14ac:dyDescent="0.35">
      <c r="A35" s="2" t="s">
        <v>6</v>
      </c>
      <c r="B35" s="2"/>
      <c r="C35" s="2">
        <v>52</v>
      </c>
      <c r="D35" s="2">
        <v>17</v>
      </c>
      <c r="E35" s="2">
        <v>104</v>
      </c>
      <c r="F35" s="2">
        <v>1</v>
      </c>
      <c r="G35" s="2">
        <v>5</v>
      </c>
      <c r="H35" s="18">
        <v>3</v>
      </c>
      <c r="I35" s="42"/>
    </row>
    <row r="36" spans="1:17" x14ac:dyDescent="0.35">
      <c r="A36" s="2" t="s">
        <v>14</v>
      </c>
      <c r="B36" s="2"/>
      <c r="C36" s="2"/>
      <c r="D36" s="2"/>
      <c r="E36" s="2"/>
      <c r="F36" s="2"/>
      <c r="G36" s="2"/>
      <c r="H36" s="18"/>
      <c r="I36" s="42"/>
    </row>
    <row r="37" spans="1:17" ht="15" thickBot="1" x14ac:dyDescent="0.4">
      <c r="A37" s="5" t="s">
        <v>7</v>
      </c>
      <c r="B37" s="5"/>
      <c r="C37" s="2">
        <f>SUM(C30:C35)</f>
        <v>456</v>
      </c>
      <c r="D37" s="2">
        <f t="shared" ref="D37:H37" si="3">SUM(D30:D35)</f>
        <v>110</v>
      </c>
      <c r="E37" s="2">
        <f t="shared" si="3"/>
        <v>676</v>
      </c>
      <c r="F37" s="2">
        <f t="shared" si="3"/>
        <v>5</v>
      </c>
      <c r="G37" s="2">
        <f>SUM(G30:G35)</f>
        <v>13</v>
      </c>
      <c r="H37" s="2">
        <f t="shared" si="3"/>
        <v>5</v>
      </c>
      <c r="I37" s="43"/>
    </row>
    <row r="38" spans="1:17" ht="15" thickBot="1" x14ac:dyDescent="0.4">
      <c r="A38" s="9" t="s">
        <v>0</v>
      </c>
      <c r="B38" s="9"/>
      <c r="C38" s="8" t="s">
        <v>11</v>
      </c>
      <c r="D38" s="7" t="s">
        <v>12</v>
      </c>
      <c r="E38" s="7" t="s">
        <v>13</v>
      </c>
      <c r="F38" s="7" t="s">
        <v>9</v>
      </c>
      <c r="G38" s="15" t="s">
        <v>10</v>
      </c>
      <c r="H38" s="16" t="s">
        <v>8</v>
      </c>
      <c r="I38" s="41">
        <v>46108</v>
      </c>
    </row>
    <row r="39" spans="1:17" x14ac:dyDescent="0.35">
      <c r="A39" s="13" t="s">
        <v>1</v>
      </c>
      <c r="B39" s="12"/>
      <c r="C39" s="21">
        <v>32</v>
      </c>
      <c r="D39" s="21">
        <v>9</v>
      </c>
      <c r="E39" s="21">
        <v>87</v>
      </c>
      <c r="F39" s="21"/>
      <c r="G39" s="27">
        <v>2</v>
      </c>
      <c r="H39" s="17"/>
      <c r="I39" s="42"/>
    </row>
    <row r="40" spans="1:17" x14ac:dyDescent="0.35">
      <c r="A40" s="2" t="s">
        <v>2</v>
      </c>
      <c r="B40" s="2"/>
      <c r="C40" s="2">
        <v>110</v>
      </c>
      <c r="D40" s="2">
        <v>25</v>
      </c>
      <c r="E40" s="2">
        <v>245</v>
      </c>
      <c r="F40" s="2"/>
      <c r="G40" s="2"/>
      <c r="H40" s="18">
        <v>3</v>
      </c>
      <c r="I40" s="42"/>
    </row>
    <row r="41" spans="1:17" x14ac:dyDescent="0.35">
      <c r="A41" s="2" t="s">
        <v>3</v>
      </c>
      <c r="B41" s="2"/>
      <c r="C41" s="2">
        <v>117</v>
      </c>
      <c r="D41" s="2">
        <v>30</v>
      </c>
      <c r="E41" s="2">
        <v>243</v>
      </c>
      <c r="F41" s="2"/>
      <c r="G41" s="2">
        <v>1</v>
      </c>
      <c r="H41" s="18">
        <v>1</v>
      </c>
      <c r="I41" s="42"/>
    </row>
    <row r="42" spans="1:17" x14ac:dyDescent="0.35">
      <c r="A42" s="2" t="s">
        <v>4</v>
      </c>
      <c r="B42" s="2"/>
      <c r="C42" s="2">
        <v>92</v>
      </c>
      <c r="D42" s="2">
        <v>24</v>
      </c>
      <c r="E42" s="2">
        <v>196</v>
      </c>
      <c r="F42" s="2">
        <v>3</v>
      </c>
      <c r="G42" s="2"/>
      <c r="H42" s="18">
        <v>1</v>
      </c>
      <c r="I42" s="42"/>
      <c r="Q42">
        <f>7855-7747</f>
        <v>108</v>
      </c>
    </row>
    <row r="43" spans="1:17" x14ac:dyDescent="0.35">
      <c r="A43" s="2" t="s">
        <v>5</v>
      </c>
      <c r="B43" s="2"/>
      <c r="C43" s="2">
        <v>65</v>
      </c>
      <c r="D43" s="2">
        <v>16</v>
      </c>
      <c r="E43" s="2">
        <v>85</v>
      </c>
      <c r="F43" s="2"/>
      <c r="G43" s="2">
        <v>4</v>
      </c>
      <c r="H43" s="18">
        <v>1</v>
      </c>
      <c r="I43" s="42"/>
    </row>
    <row r="44" spans="1:17" x14ac:dyDescent="0.35">
      <c r="A44" s="2" t="s">
        <v>6</v>
      </c>
      <c r="B44" s="2"/>
      <c r="C44" s="2">
        <v>45</v>
      </c>
      <c r="D44" s="2">
        <v>11</v>
      </c>
      <c r="E44" s="2">
        <v>103</v>
      </c>
      <c r="F44" s="2"/>
      <c r="G44" s="2">
        <v>4</v>
      </c>
      <c r="H44" s="18">
        <v>2</v>
      </c>
      <c r="I44" s="42"/>
    </row>
    <row r="45" spans="1:17" x14ac:dyDescent="0.35">
      <c r="A45" s="2" t="s">
        <v>14</v>
      </c>
      <c r="B45" s="2"/>
      <c r="C45" s="2"/>
      <c r="D45" s="2"/>
      <c r="E45" s="2"/>
      <c r="F45" s="2"/>
      <c r="G45" s="2"/>
      <c r="H45" s="18"/>
      <c r="I45" s="42"/>
    </row>
    <row r="46" spans="1:17" ht="15" thickBot="1" x14ac:dyDescent="0.4">
      <c r="A46" s="5" t="s">
        <v>7</v>
      </c>
      <c r="B46" s="5"/>
      <c r="C46" s="2">
        <f>SUM(C39:C44)</f>
        <v>461</v>
      </c>
      <c r="D46" s="2">
        <f t="shared" ref="D46:H46" si="4">SUM(D39:D44)</f>
        <v>115</v>
      </c>
      <c r="E46" s="2">
        <f t="shared" si="4"/>
        <v>959</v>
      </c>
      <c r="F46" s="2">
        <f t="shared" si="4"/>
        <v>3</v>
      </c>
      <c r="G46" s="2">
        <f>SUM(G39:G44)</f>
        <v>11</v>
      </c>
      <c r="H46" s="2">
        <f t="shared" si="4"/>
        <v>8</v>
      </c>
      <c r="I46" s="43"/>
    </row>
    <row r="47" spans="1:17" ht="15" thickBot="1" x14ac:dyDescent="0.4">
      <c r="A47" s="24" t="s">
        <v>17</v>
      </c>
      <c r="B47" s="25"/>
      <c r="C47" s="25">
        <f>C10+C19+C28+C37+C46</f>
        <v>2675</v>
      </c>
      <c r="D47" s="25">
        <f>D46+D37+D28+D19++D10</f>
        <v>647</v>
      </c>
      <c r="E47" s="25">
        <f>E46+E37+E28+E19++E10</f>
        <v>4425</v>
      </c>
      <c r="F47" s="25">
        <f>F46+F37+F28+F19+F10</f>
        <v>20</v>
      </c>
      <c r="G47" s="25">
        <f>G46+G37+G28+G19+G10</f>
        <v>39</v>
      </c>
      <c r="H47" s="25">
        <f>H46+H37+H28+H19+H10</f>
        <v>49</v>
      </c>
      <c r="I47" s="28">
        <f>SUM(C47:H47)</f>
        <v>7855</v>
      </c>
    </row>
    <row r="49" spans="1:2" x14ac:dyDescent="0.35">
      <c r="A49" s="26" t="s">
        <v>16</v>
      </c>
      <c r="B49" s="26" t="s">
        <v>23</v>
      </c>
    </row>
    <row r="50" spans="1:2" x14ac:dyDescent="0.35">
      <c r="A50" s="2" t="s">
        <v>19</v>
      </c>
      <c r="B50" s="2">
        <v>45</v>
      </c>
    </row>
    <row r="51" spans="1:2" x14ac:dyDescent="0.35">
      <c r="A51" s="2" t="s">
        <v>18</v>
      </c>
      <c r="B51" s="2">
        <v>45</v>
      </c>
    </row>
    <row r="52" spans="1:2" x14ac:dyDescent="0.35">
      <c r="A52" s="2" t="s">
        <v>20</v>
      </c>
      <c r="B52" s="2">
        <v>130</v>
      </c>
    </row>
    <row r="53" spans="1:2" x14ac:dyDescent="0.35">
      <c r="A53" s="2" t="s">
        <v>21</v>
      </c>
      <c r="B53" s="2">
        <v>571</v>
      </c>
    </row>
    <row r="54" spans="1:2" x14ac:dyDescent="0.35">
      <c r="A54" s="2" t="s">
        <v>22</v>
      </c>
      <c r="B54" s="2">
        <v>0</v>
      </c>
    </row>
    <row r="55" spans="1:2" x14ac:dyDescent="0.35">
      <c r="A55" s="2" t="s">
        <v>24</v>
      </c>
      <c r="B55" s="35">
        <v>49</v>
      </c>
    </row>
    <row r="56" spans="1:2" x14ac:dyDescent="0.35">
      <c r="A56" s="2" t="s">
        <v>25</v>
      </c>
      <c r="B56" s="2">
        <v>69</v>
      </c>
    </row>
  </sheetData>
  <mergeCells count="5">
    <mergeCell ref="I2:I10"/>
    <mergeCell ref="I12:I19"/>
    <mergeCell ref="I20:I28"/>
    <mergeCell ref="I29:I37"/>
    <mergeCell ref="I38:I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March Week-1</vt:lpstr>
      <vt:lpstr>Week-2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Sinha</dc:creator>
  <cp:lastModifiedBy>Deals</cp:lastModifiedBy>
  <cp:lastPrinted>2025-09-29T04:11:00Z</cp:lastPrinted>
  <dcterms:created xsi:type="dcterms:W3CDTF">2025-09-04T20:00:16Z</dcterms:created>
  <dcterms:modified xsi:type="dcterms:W3CDTF">2026-03-29T22:53:14Z</dcterms:modified>
</cp:coreProperties>
</file>